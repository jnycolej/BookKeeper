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4"/>
    <sheet state="hidden" name="Sheet3" sheetId="2" r:id="rId5"/>
    <sheet state="visible" name="Sheet2" sheetId="3" r:id="rId6"/>
  </sheets>
  <definedNames>
    <definedName hidden="1" localSheetId="0" name="_xlnm._FilterDatabase">'Form Responses 1'!$A$1:$AC$311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03">
      <text>
        <t xml:space="preserve">Responder updated this value.</t>
      </text>
    </comment>
    <comment authorId="0" ref="J109">
      <text>
        <t xml:space="preserve">Responder updated this value.</t>
      </text>
    </comment>
    <comment authorId="0" ref="J195">
      <text>
        <t xml:space="preserve">Responder updated this value.</t>
      </text>
    </comment>
    <comment authorId="0" ref="P195">
      <text>
        <t xml:space="preserve">Responder updated this value.</t>
      </text>
    </comment>
    <comment authorId="0" ref="F292">
      <text>
        <t xml:space="preserve">Responder updated this value.</t>
      </text>
    </comment>
    <comment authorId="0" ref="I292">
      <text>
        <t xml:space="preserve">Responder updated this value.</t>
      </text>
    </comment>
    <comment authorId="0" ref="P292">
      <text>
        <t xml:space="preserve">Responder updated this value.</t>
      </text>
    </comment>
  </commentList>
</comments>
</file>

<file path=xl/sharedStrings.xml><?xml version="1.0" encoding="utf-8"?>
<sst xmlns="http://schemas.openxmlformats.org/spreadsheetml/2006/main" count="4168" uniqueCount="1949">
  <si>
    <t>Timestamp</t>
  </si>
  <si>
    <t>I want to:</t>
  </si>
  <si>
    <t>Title</t>
  </si>
  <si>
    <t>Author</t>
  </si>
  <si>
    <t>Pairing</t>
  </si>
  <si>
    <t>Character representation (elaborate in the next section if you can!)</t>
  </si>
  <si>
    <t>Tell us more about the characters! (optional)</t>
  </si>
  <si>
    <t>Point of View (optional)</t>
  </si>
  <si>
    <t>Subgenres- Select at least one, or as many as apply</t>
  </si>
  <si>
    <t>Tropes/Features- Select at least one, as many as ten</t>
  </si>
  <si>
    <t>Location/Setting</t>
  </si>
  <si>
    <t>Steam Level (optional but useful)</t>
  </si>
  <si>
    <t>Details of Sex, Kinks, and Fetish</t>
  </si>
  <si>
    <t>Part of a Series? (optional)</t>
  </si>
  <si>
    <t>Series Name and Book # (if applicable) eg; Lugubrious Dukes book #2</t>
  </si>
  <si>
    <t>The story made me: (optional, check as many as you want)</t>
  </si>
  <si>
    <t>Content Warnings? (optional but helpful) eg; assault, dubious consent</t>
  </si>
  <si>
    <t>Audiobook included with KU?</t>
  </si>
  <si>
    <t>Goodreads Link? (not required but will bring you good karma!)</t>
  </si>
  <si>
    <t>Title and author</t>
  </si>
  <si>
    <t>Issue to correct</t>
  </si>
  <si>
    <t>Tell us more</t>
  </si>
  <si>
    <t/>
  </si>
  <si>
    <t>Add new entry</t>
  </si>
  <si>
    <t>The Lord of Stariel</t>
  </si>
  <si>
    <t>A.J. Lancaster</t>
  </si>
  <si>
    <t>M/F</t>
  </si>
  <si>
    <t>Single POV, Third person</t>
  </si>
  <si>
    <t>Fantasy &amp; Gothic, Historical Romance, LGBTQIA+ &amp; GSM</t>
  </si>
  <si>
    <t>Class Differences, Creatures- Dragon/Fae/etc, Early 20th Century, Friends-to-lovers, Political, Royalty, Slow Burn</t>
  </si>
  <si>
    <t>Level 2- Kisses and some action, nothing explicit</t>
  </si>
  <si>
    <t>Stariel #1</t>
  </si>
  <si>
    <t>Swoon, Laugh, Feel feels, Inspired, Transported</t>
  </si>
  <si>
    <t xml:space="preserve">mild love triangle, but it's resolved quickly </t>
  </si>
  <si>
    <t>No</t>
  </si>
  <si>
    <t>https://www.goodreads.com/book/show/41838393-the-lord-of-stariel</t>
  </si>
  <si>
    <t>The Devil's Ex-fiancee</t>
  </si>
  <si>
    <t>A.Ogunmokun</t>
  </si>
  <si>
    <t>BIPoC (Black, Indigenous, People of Colour)</t>
  </si>
  <si>
    <t>Third person</t>
  </si>
  <si>
    <t>Contemporary, Dark, Erotic Romance, Multicultural/Interracial</t>
  </si>
  <si>
    <t>Billionaires/Millionaires/Gazillionaires etc, Coworkers or Colleagues, Friends-to-lovers, Novella or Short Story</t>
  </si>
  <si>
    <t>Europe</t>
  </si>
  <si>
    <t>Level 4- Heavy sexual content, mature audiences only</t>
  </si>
  <si>
    <t>Cum Fetish, Dirty Talk</t>
  </si>
  <si>
    <t>Series- can be read as standalones</t>
  </si>
  <si>
    <t>Swoon, Scared</t>
  </si>
  <si>
    <t>https://www.goodreads.com/book/show/124941950-becoming</t>
  </si>
  <si>
    <t>Initiation</t>
  </si>
  <si>
    <t xml:space="preserve">Alethea Faust </t>
  </si>
  <si>
    <t xml:space="preserve">Non-monogamous </t>
  </si>
  <si>
    <t>LGBTQIA+ &amp; GSM (Gender and Sexual Minorities)</t>
  </si>
  <si>
    <t>Single POV, First person</t>
  </si>
  <si>
    <t>Adventure, Fantasy</t>
  </si>
  <si>
    <t>BDSM or Kink, Witch/Wizard/Warlock etc</t>
  </si>
  <si>
    <t>Level 5- My Kindle melted, primarily erotica</t>
  </si>
  <si>
    <t>Anal sex, Blood Play, Bondage &amp; Restraints, Breath Play (eg.choking), Degradation Kink, Dom/Sub, Double Penetration, Edging/Orgasm Denial, Exhibitionism, Femdom, Free Use, Humiliation Kink, Maledom, Masochism, Oral sex - cunnilingus, Oral sex - fellatio, PIV sex (penis in vagina), Sadism, Sex Toy Play</t>
  </si>
  <si>
    <t>Series- must be read in order</t>
  </si>
  <si>
    <t>Sex Wizards #1</t>
  </si>
  <si>
    <t>Swoon, Laugh, Transported</t>
  </si>
  <si>
    <t>https://www.goodreads.com/book/show/59339420-initiation</t>
  </si>
  <si>
    <t>My Life with the Walter Boys</t>
  </si>
  <si>
    <t>Ali Novak</t>
  </si>
  <si>
    <t>FMC Jackie is sent to live with her godmother after her family dies. However, her godmother has 12 boys also living with her.</t>
  </si>
  <si>
    <t>Single POV</t>
  </si>
  <si>
    <t>New Adult (NA), Romantic Comedy, Young Adult (YA)</t>
  </si>
  <si>
    <t>Cheating, Enemies-to-lovers (or dislike-to-love), Fake Relationship, Fated Mates, Forced Proximity, Friends-to-lovers, Grumpy/Sunshine, Hurt/Comfort, Love Triangle, Mid 20th Century, Off Limits (ie; Brother's Best Friend), Virgin MC, Off-limits - Siblings fight for same girl</t>
  </si>
  <si>
    <t>North America</t>
  </si>
  <si>
    <t>Level 2- Kisses and foreplay, everything else closed door</t>
  </si>
  <si>
    <t>#1</t>
  </si>
  <si>
    <t>Swoon, Laugh, Rage</t>
  </si>
  <si>
    <t>https://www.goodreads.com/book/show/13580846-my-life-with-the-walter-boys</t>
  </si>
  <si>
    <t>Her Baseborn Bridegroom</t>
  </si>
  <si>
    <t>Alice Coldbreath</t>
  </si>
  <si>
    <t>Dual POV, Third person</t>
  </si>
  <si>
    <t>Historical Romance</t>
  </si>
  <si>
    <t>Marriage of Convenience (or arranged marriage), Medieval, Normal MC- Average looks or career</t>
  </si>
  <si>
    <t>Level 3- Sexual content in a few chapters</t>
  </si>
  <si>
    <t>Vawdrey Brothers #1</t>
  </si>
  <si>
    <t>Feel feels</t>
  </si>
  <si>
    <t>https://www.goodreads.com/book/show/36103790-her-baseborn-bridegroom</t>
  </si>
  <si>
    <t xml:space="preserve">Honestly, I'm Totally Faking It </t>
  </si>
  <si>
    <t>Amanda Gambill</t>
  </si>
  <si>
    <t xml:space="preserve">Hero is a political analyst planning a mayoral run and the heroine's life is a mess. </t>
  </si>
  <si>
    <t>Contemporary, Romantic Comedy</t>
  </si>
  <si>
    <t>Billionaires/Millionaires/Gazillionaires etc, Class Differences, Fake Relationship, Forced Proximity, Grumpy/Sunshine, Opposites Attract, Political, Slow Burn</t>
  </si>
  <si>
    <t>Dirty Talk</t>
  </si>
  <si>
    <t>Standalone (not part of a series)</t>
  </si>
  <si>
    <t>Laugh, Feel feels</t>
  </si>
  <si>
    <t>Abusive ex-boyfriend, incarcerated parent, boss/assistant relationship</t>
  </si>
  <si>
    <t>https://www.goodreads.com/en/book/show/60022022-honestly-i-m-totally-faking-it</t>
  </si>
  <si>
    <t>Contagion</t>
  </si>
  <si>
    <t>Amanda Milo</t>
  </si>
  <si>
    <t>Science Fiction &amp; Alien</t>
  </si>
  <si>
    <t>Creatures or Monsters- Dragon/Orc/Fae/etc, Forced Proximity, Friends-to-lovers, Geek/Nerd/Misfit/Genius, Sweet MC- beta hero/kindhearted heroine/etc</t>
  </si>
  <si>
    <t>Laugh</t>
  </si>
  <si>
    <t>https://www.goodreads.com/book/show/48567611-contagion</t>
  </si>
  <si>
    <t>The (Alien) Nanny for Christmas</t>
  </si>
  <si>
    <t>Dual POV</t>
  </si>
  <si>
    <t>Caretaker/Nanny/Governess, Creatures or Monsters- Dragon/Orc/Fae/etc, Holidays, Novella or Short Story, Single Parent</t>
  </si>
  <si>
    <t>https://www.goodreads.com/book/show/43194302-the-alien-nanny-for-christmas</t>
  </si>
  <si>
    <t>To Desire A Dragon</t>
  </si>
  <si>
    <t>Fantasy &amp; Gothic</t>
  </si>
  <si>
    <t>Creatures or Monsters- Dragon/Orc/Fae/etc, Fated Mates, Novella or Short Story</t>
  </si>
  <si>
    <t>Laugh, Smolder</t>
  </si>
  <si>
    <t>Dub con (cultural) references to sexual slavery</t>
  </si>
  <si>
    <t>https://www.goodreads.com/book/show/53491945-to-desire-a-dragon</t>
  </si>
  <si>
    <t>Into The North</t>
  </si>
  <si>
    <t>Amber Huxley</t>
  </si>
  <si>
    <t>M/M</t>
  </si>
  <si>
    <t>Dark, Historical Romance, Multicultural/Interracial</t>
  </si>
  <si>
    <t>Angst, Enemies-to-lovers (or dislike-to-love), Forced Proximity</t>
  </si>
  <si>
    <t>Cry, Rage, Feel feels</t>
  </si>
  <si>
    <t>slavery, power imbalance, violence, war</t>
  </si>
  <si>
    <t>https://www.goodreads.com/book/show/63231447-into-the-north?ac=1&amp;from_search=true&amp;qid=LRhuOEMkdi&amp;rank=3</t>
  </si>
  <si>
    <t>Flip Trick</t>
  </si>
  <si>
    <t>Amo Jones</t>
  </si>
  <si>
    <t>Contemporary, Sports Romance</t>
  </si>
  <si>
    <t>Angst, Bully/Reformed Bully, Fake Relationship, Forbidden or Taboo, Insta-lust/Insta-love/Insta-coffee, Off Limits (ie; Brother's Best Friend)</t>
  </si>
  <si>
    <t>https://www.goodreads.com/book/show/40846776-flip-trick</t>
  </si>
  <si>
    <t>Blindsided</t>
  </si>
  <si>
    <t>Amy Daws</t>
  </si>
  <si>
    <t>Dual POV, First person</t>
  </si>
  <si>
    <t>Friends-to-lovers, Relationship Coach-  (ie; Teach me how to kiss), Slow Burn</t>
  </si>
  <si>
    <t>Tingle, Laugh, Feel feels</t>
  </si>
  <si>
    <t>https://www.goodreads.com/book/show/52602989-blindsided</t>
  </si>
  <si>
    <t>What The Wind Knows</t>
  </si>
  <si>
    <t>Amy Harmon</t>
  </si>
  <si>
    <t>Enemies-to-lovers (or dislike-to-love), Medical- Doctor/Nurse/Vet etc, Time Travel</t>
  </si>
  <si>
    <t>Swoon, Tingle, Cry, Feel feels, Learn, Inspired, Transported</t>
  </si>
  <si>
    <t>https://www.goodreads.com/book/show/40407141-what-the-wind-knows</t>
  </si>
  <si>
    <t xml:space="preserve">Lords of Pain </t>
  </si>
  <si>
    <t xml:space="preserve">Angel Lawson &amp; Samantha Rue </t>
  </si>
  <si>
    <t>MMMF</t>
  </si>
  <si>
    <t xml:space="preserve">Multiple POV's - all main characters </t>
  </si>
  <si>
    <t>Contemporary, Dark, Gothic, New Adult (NA)</t>
  </si>
  <si>
    <t>Antihero/Villian/Stockholm Syndrome, Angst, BDSM or Kink, Bully/Reformed Bully, Enemies-to-lovers (or dislike-to-love), Forbidden or Taboo, Forced Proximity, Reverse Harem/Why Choose, Tattoos &amp; Piercings</t>
  </si>
  <si>
    <t>Anal sex, Blood Play, CNC (Consensual Non Consent), Cock pocket, Cum Fetish, Dirty Talk, Double Penetration, Edging/Orgasm Denial, Exhibitionism, Knife Play, Oral sex - cunnilingus, Oral sex - fellatio, PIV sex (penis in vagina), Somnophilia, Voyeurism</t>
  </si>
  <si>
    <t xml:space="preserve">The Royals of Forsyth University </t>
  </si>
  <si>
    <t>Tingle, Smolder</t>
  </si>
  <si>
    <t>stalking, sexual assault, dubious consent, suicide ideation, murder, prostitution, drugs, non-consent</t>
  </si>
  <si>
    <t>https://www.goodreads.com/book/show/56986379-lords-of-pain?from_search=true&amp;from_srp=true&amp;qid=HdL9YJtnoZ&amp;rank=1</t>
  </si>
  <si>
    <t>Love is Blind</t>
  </si>
  <si>
    <t>Annabelle Costa</t>
  </si>
  <si>
    <t>Neurodivergent (Autism, ADHD, dyspraxia, dyslexia, etc), Physical disability or illness, Mental disability or illness</t>
  </si>
  <si>
    <t>Contemporary</t>
  </si>
  <si>
    <t>placeholder</t>
  </si>
  <si>
    <t>Swoon, Cry, Feel feels, Learn</t>
  </si>
  <si>
    <t>Mentions of war (male MC is a veteran)</t>
  </si>
  <si>
    <t>https://www.goodreads.com/book/show/43483442-love-is-blind</t>
  </si>
  <si>
    <t>Taming Demons for Beginners</t>
  </si>
  <si>
    <t>Annette Marie</t>
  </si>
  <si>
    <t>Paranormal, New Adult (NA)</t>
  </si>
  <si>
    <t>Angel &amp; Demon etc, Creatures or Monsters- Dragon/Orc/Fae/etc, Slow Burn, Witch/Wizard/Warlock etc</t>
  </si>
  <si>
    <t>Level 1- Kisses only, no mention of sex</t>
  </si>
  <si>
    <t>The Guild Codex: Demonised #1</t>
  </si>
  <si>
    <t>https://www.goodreads.com/book/show/44932446-taming-demons-for-beginners</t>
  </si>
  <si>
    <t>Leo Loves Aries</t>
  </si>
  <si>
    <t>Anyta Sunday</t>
  </si>
  <si>
    <t>Angst, Forced Proximity, Friends-to-lovers, Slow Burn</t>
  </si>
  <si>
    <t>Sign of Love #1</t>
  </si>
  <si>
    <t>Swoon, Tingle, Laugh, Feel feels, Dream</t>
  </si>
  <si>
    <t>https://www.goodreads.com/book/show/33267481-leo-loves-aries</t>
  </si>
  <si>
    <t>Faking Under the Mistletoe</t>
  </si>
  <si>
    <t>Ashley Shepherd</t>
  </si>
  <si>
    <t>Billionaires/Millionaires/Gazillionaires etc, Class Differences, Coworkers or Colleagues, Fake Relationship</t>
  </si>
  <si>
    <t>Swoon, Laugh, Cry, Rage</t>
  </si>
  <si>
    <t>sexual assault, rape</t>
  </si>
  <si>
    <t>https://www.goodreads.com/book/show/50776910-faking-under-the-mistletoe</t>
  </si>
  <si>
    <t>Briarley</t>
  </si>
  <si>
    <t>Aster Glenn Gray</t>
  </si>
  <si>
    <t>LGBTQIA+ &amp; GSM (Gender and Sexual Minorities), Mental disability or illness</t>
  </si>
  <si>
    <t>Historical Romance, Paranormal</t>
  </si>
  <si>
    <t>Antihero/Villian/Stockholm Syndrome, Creatures or Monsters- Dragon/Orc/Fae/etc, Early 20th Century, Forced Proximity, Loner/Isolated, Retellings- Fairytale/Folklore/Mythology, Sweet MC- beta hero/kindhearted heroine/etc, Wounded Hero/Heroine &amp; War Heroes/Heroines</t>
  </si>
  <si>
    <t>Cry, Feel feels, Smolder, Inspired</t>
  </si>
  <si>
    <t>War</t>
  </si>
  <si>
    <t>https://www.goodreads.com/en/book/show/40052412</t>
  </si>
  <si>
    <t>The Marriage Auction</t>
  </si>
  <si>
    <t>Audrey Carlan</t>
  </si>
  <si>
    <t xml:space="preserve">Various characters variety of themes </t>
  </si>
  <si>
    <t>Erotic Romance, Romantic Suspense</t>
  </si>
  <si>
    <t>A/B/O (alpha/beta/omega), Billionaires/Millionaires/Gazillionaires etc, Marriage of Convenience (or arranged marriage)</t>
  </si>
  <si>
    <t>Anal sex</t>
  </si>
  <si>
    <t xml:space="preserve">Volume one </t>
  </si>
  <si>
    <t>Swoon, Feel feels</t>
  </si>
  <si>
    <t>Yes</t>
  </si>
  <si>
    <t>https://www.goodreads.com/book/show/63112074-the-marriage-auction</t>
  </si>
  <si>
    <t>Lady Edith's Lonely Heart</t>
  </si>
  <si>
    <t>Audrey Harrison</t>
  </si>
  <si>
    <t>Epistolary, Off Limits (ie; Brother's Best Friend), Regency, Slow Burn</t>
  </si>
  <si>
    <t>Lonely Heart #1</t>
  </si>
  <si>
    <t>https://www.goodreads.com/book/show/51616063-lady-edith-s-lonely-heart</t>
  </si>
  <si>
    <t>The Captain's Wallflower</t>
  </si>
  <si>
    <t>Physical disability or illness</t>
  </si>
  <si>
    <t>Friends-to-lovers</t>
  </si>
  <si>
    <t>Feel feels, Transported</t>
  </si>
  <si>
    <t>https://www.goodreads.com/book/show/28008070-the-captain-s-wallflower</t>
  </si>
  <si>
    <t xml:space="preserve">Spearcrest Devil </t>
  </si>
  <si>
    <t>Aurora Reed</t>
  </si>
  <si>
    <t>Dark, Erotic Romance</t>
  </si>
  <si>
    <t>Billionaires/Millionaires/Gazillionaires etc, Enemies-to-lovers (or dislike-to-love), Fake Relationship, Mistaken or False Identity</t>
  </si>
  <si>
    <t>Europe, North America</t>
  </si>
  <si>
    <t>Dirty Talk, Knife Play, Oral sex - cunnilingus, PIV sex (penis in vagina)</t>
  </si>
  <si>
    <t>Spearcrest Kings</t>
  </si>
  <si>
    <t>Tingle</t>
  </si>
  <si>
    <t>Assault(past)</t>
  </si>
  <si>
    <t>https://www.goodreads.com/book/show/203042941-spearcrest-devil</t>
  </si>
  <si>
    <t>Exit, Pursued by a Baron</t>
  </si>
  <si>
    <t>Aydra Richards</t>
  </si>
  <si>
    <t>Class Differences, Pining/Yearning, Regency, Second Chance</t>
  </si>
  <si>
    <t>https://www.goodreads.com/en/book/show/199345368</t>
  </si>
  <si>
    <t>When Darkness Comes</t>
  </si>
  <si>
    <t>Beck Cummings</t>
  </si>
  <si>
    <t>Contemporary, Romantic Suspense</t>
  </si>
  <si>
    <t>Opposites Attract, Spy/Intrigue/Mystery, Tattoos &amp; Piercings, Ghost Hunting</t>
  </si>
  <si>
    <t>From Darkness to Dawn #1</t>
  </si>
  <si>
    <t>Swoon, Transported</t>
  </si>
  <si>
    <t>https://www.goodreads.com/book/show/52614279-when-darkness-comes</t>
  </si>
  <si>
    <t>Fall With Me</t>
  </si>
  <si>
    <t>Becka Mack</t>
  </si>
  <si>
    <t>Heroine is biracial (Black/White) and bisexual</t>
  </si>
  <si>
    <t>Athlete, BDSM or Kink, Coworkers or Colleagues, Forced Proximity, Hurt/Comfort, One Night Stand, Rake/Player</t>
  </si>
  <si>
    <t>Blood Play, Breath Play (eg.choking), Dirty Talk, Double Penetration, Impact play (spanking etc), Oral sex - cunnilingus, Oral sex - fellatio, PIV sex (penis in vagina), Praise Kink, Sex Toy Play</t>
  </si>
  <si>
    <t>Playing For Keeps #4</t>
  </si>
  <si>
    <t>Swoon, Tingle, Laugh, Cry, Feel feels</t>
  </si>
  <si>
    <t>https://www.goodreads.com/book/show/208457093-fall-with-me</t>
  </si>
  <si>
    <t>Where Did It Go Right?</t>
  </si>
  <si>
    <t>Bella Perry</t>
  </si>
  <si>
    <t>Celebrities- Rock star/Actor/Model, Forced Proximity, Love Triangle, One Night Stand, Road Trip/Travel, Slow Burn, Sweet MC- beta hero/kindhearted heroine/etc</t>
  </si>
  <si>
    <t>Oral sex - cunnilingus, Oral sex - fellatio</t>
  </si>
  <si>
    <t>Swoon, Tingle, Laugh, Rage, Feel feels</t>
  </si>
  <si>
    <t>https://www.goodreads.com/book/show/84262813</t>
  </si>
  <si>
    <t>Lev</t>
  </si>
  <si>
    <t>Belle Aurora</t>
  </si>
  <si>
    <t>Neurodivergent (Autism, ADHD, dyspraxia, dyslexia, etc)</t>
  </si>
  <si>
    <t>Coworkers or Colleagues, Hurt/Comfort, Mafia/Gang/Criminal</t>
  </si>
  <si>
    <t>Shot Callers #1</t>
  </si>
  <si>
    <t>Past physical abuse of minor, past sexual abuse</t>
  </si>
  <si>
    <t>https://www.goodreads.com/book/show/27131389-lev</t>
  </si>
  <si>
    <t>Crash: a los diablos syndicate novella</t>
  </si>
  <si>
    <t>Bex Dawn</t>
  </si>
  <si>
    <t>MMF</t>
  </si>
  <si>
    <t xml:space="preserve">Reverse Harem
Five MMCs and one FMC
Keeping MMCs anonymous because some spoilers are give. That you don’t learn about until later readings. 
FMC: doesn’t remember before she was 11, went through horrible foster care, undergoes an actual rape by her ex in the books, has horrible scars, was suicidal at one point, deals with a lot of self loathing and self hate. 
MMCs 1 and 2: sons of a horrible mafia leader working to take him down. MMC1 forced to do things to protect MMC2
MMC3: best friends with 1,2,&amp;4. Had a sadomasochistic side, secretly knows FMC prior to her amnesia. Went through severe trauma by his parents
MMC4: also friends with everyone, met FMC in the first novella, hates himself because he thinks he could have protected her if he hadn’t kept her away from him. 
MMC5: doesn’t accept his true feelings until much later, was forced to hurt FMC while they were foster kids. Best friends with FMC. 
</t>
  </si>
  <si>
    <t>Contemporary, Dark, Erotic Romance</t>
  </si>
  <si>
    <t>Age Difference, Amnesia, Angst, BDSM or Kink, Bodyguards &amp; Security, Childhood Friends, Friends-to-lovers, Grumpy/Sunshine, Hurt/Comfort, Insta-lust/Insta-love/Insta-coffee, Lawful/Chaotic, Loner/Isolated, Love Triangle, Mafia/Gang/Criminal, Pining/Yearning, Reverse Harem/Why Choose, Second Chance, Tattoos &amp; Piercings, Wounded Hero/Heroine &amp; War Heroes/Heroines</t>
  </si>
  <si>
    <t xml:space="preserve">Anal sex, Blood Play, Bondage &amp; Restraints, Breath Play (eg.choking), Corruption Kink, Dirty Talk, Dom/Sub, Double Penetration, Edging/Orgasm Denial, Impact play (spanking etc), Knife Play, Maledom, Masochism, Oral sex - cunnilingus, Oral sex - fellatio, PIV sex (penis in vagina), Praise Kink, Sadism, Shibari </t>
  </si>
  <si>
    <t xml:space="preserve">Los diablos syndicate novella into </t>
  </si>
  <si>
    <t>Swoon, Tingle, Laugh, Cry, Rage, Feel feels, Dream, Smolder</t>
  </si>
  <si>
    <t xml:space="preserve">Rape, assault, very detailed injuries, blood, forced </t>
  </si>
  <si>
    <t>https://www.goodreads.com/book/show/60682598</t>
  </si>
  <si>
    <t>Broken Records</t>
  </si>
  <si>
    <t>Bree Bennett</t>
  </si>
  <si>
    <t>Celebrities- Rock star/Actor/Model, Fake Relationship, Hurt/Comfort, Marriage of Convenience (or arranged marriage), Slow Burn</t>
  </si>
  <si>
    <t>Sparrow hill Stories #1</t>
  </si>
  <si>
    <t>Swoon, Laugh</t>
  </si>
  <si>
    <t>previous domestic abuse, PTSD, alcoholism, mentions of drug use</t>
  </si>
  <si>
    <t>https://www.goodreads.com/book/show/58415536-broken-records</t>
  </si>
  <si>
    <t>Ringmaster</t>
  </si>
  <si>
    <t>Brianna Hale</t>
  </si>
  <si>
    <t>Age Difference, Coworkers or Colleagues, Slow Burn, Sweet MC- beta hero/kindhearted heroine/etc</t>
  </si>
  <si>
    <t>Assault (from parent - limited to a few pages)</t>
  </si>
  <si>
    <t>https://www.goodreads.com/book/show/53189351</t>
  </si>
  <si>
    <t>The Mixtape</t>
  </si>
  <si>
    <t>Brittainy C. Cherry</t>
  </si>
  <si>
    <t>Mental disability or illness</t>
  </si>
  <si>
    <t>Hurt/Comfort</t>
  </si>
  <si>
    <t>Swoon, Cry, Inspired</t>
  </si>
  <si>
    <t>Rape, Depression</t>
  </si>
  <si>
    <t>https://www.goodreads.com/book/show/55747432</t>
  </si>
  <si>
    <t xml:space="preserve">Morning Glory Milking Farm </t>
  </si>
  <si>
    <t>C. M. Nascosta</t>
  </si>
  <si>
    <t>Minotaur MMC</t>
  </si>
  <si>
    <t>Erotic Romance, Fantasy, Romantic Comedy</t>
  </si>
  <si>
    <t>Billionaires/Millionaires/Gazillionaires etc, Class Differences, Creatures or Monsters- Dragon/Orc/Fae/etc, Escort/Sex worker/Courtesan</t>
  </si>
  <si>
    <t>Imaginary</t>
  </si>
  <si>
    <t>Dirty Talk, Size Kink</t>
  </si>
  <si>
    <t>Shared Universe</t>
  </si>
  <si>
    <t>Cambric Creek</t>
  </si>
  <si>
    <t>Tingle, Laugh, Smolder</t>
  </si>
  <si>
    <t>https://www.goodreads.com/book/show/58678992-morning-glory-milking-farm</t>
  </si>
  <si>
    <t>Breaking Even</t>
  </si>
  <si>
    <t>C. M. Owens</t>
  </si>
  <si>
    <t>Angst, Enemies-to-lovers (or dislike-to-love), Ordinary MC- Average looks or career, Opposites Attract</t>
  </si>
  <si>
    <t>Sterling Shore #5</t>
  </si>
  <si>
    <t>https://www.goodreads.com/book/show/24285685-breaking-even</t>
  </si>
  <si>
    <t>Filthy Rich Boys</t>
  </si>
  <si>
    <t>C. M. Stunich</t>
  </si>
  <si>
    <t xml:space="preserve">RH / Why choose </t>
  </si>
  <si>
    <t>Contemporary, Dark, Polyamorous, New Adult (NA)</t>
  </si>
  <si>
    <t>Angst, Bully/Reformed Bully, Loner/Isolated, Reverse Harem/Why Choose</t>
  </si>
  <si>
    <t>Rich Boys of Burberry Prep #1</t>
  </si>
  <si>
    <t>Tingle, Rage, Feel feels</t>
  </si>
  <si>
    <t>Abuse of Heroine, Assault, MCs in book are teenagers?</t>
  </si>
  <si>
    <t>https://www.goodreads.com/book/show/44649884-filthy-rich-boys</t>
  </si>
  <si>
    <t>Two for Tea: Welcome to Azathé</t>
  </si>
  <si>
    <t xml:space="preserve">C.M. Nascosta </t>
  </si>
  <si>
    <t>F/NB</t>
  </si>
  <si>
    <t>LGBTQIA+ &amp; GSM (Gender and Sexual Minorities), Neurodivergent (Autism, ADHD, dyspraxia, dyslexia, etc)</t>
  </si>
  <si>
    <t>Contemporary, Paranormal</t>
  </si>
  <si>
    <t>Creatures or Monsters- Dragon/Orc/Fae/etc, Hurt/Comfort, Loner/Isolated, Novella or Short Story, Small Town, Witch/Wizard/Warlock etc</t>
  </si>
  <si>
    <t>Cambric Creek #4</t>
  </si>
  <si>
    <t>Cry, Feel feels</t>
  </si>
  <si>
    <t>Depression, Grief, Parental Death, Suicidal Ideation, Off-page Dubcon, Use of Holistic Medicine</t>
  </si>
  <si>
    <t>https://www.goodreads.com/book/show/62856402-two-for-tea</t>
  </si>
  <si>
    <t>Kept by Monsters</t>
  </si>
  <si>
    <t>Cait Cro</t>
  </si>
  <si>
    <t>Multiple: M/F, M/M/F, F/F. F/?</t>
  </si>
  <si>
    <t>Demitra learns she is a half succubus meant to feed on the magic of paranormal beings, and is set to inherit a house that "serves" them.  However, forces lurk behind every corner that aim to take control of her.</t>
  </si>
  <si>
    <t>First person</t>
  </si>
  <si>
    <t>Adventure, Erotic Romance, Fantasy, Paranormal, Polyamorous</t>
  </si>
  <si>
    <t>Escort/Sex worker/Courtesan, Insta-lust/Insta-love/Insta-coffee, Menage, Reverse Harem/Why Choose, Vampire, Undead etc, Witch/Wizard/Warlock etc</t>
  </si>
  <si>
    <t>Anal sex, Double Penetration, Edging/Orgasm Denial, Oral sex - cunnilingus, Oral sex - fellatio, Pegging, PIV sex (penis in vagina), Primal Kink, Voyeurism</t>
  </si>
  <si>
    <t>Tingle, Laugh, Smolder, Transported</t>
  </si>
  <si>
    <t>Mention of but not depictions of rape.   Some action/violence.</t>
  </si>
  <si>
    <t>https://www.goodreads.com/book/show/48552218-kept-by-monsters</t>
  </si>
  <si>
    <t>The Guy in the Window</t>
  </si>
  <si>
    <t>Cara Dee</t>
  </si>
  <si>
    <t>Age Difference, Foodies- Chef/Baker/Bartender etc, Forbidden or Taboo, Single Parent</t>
  </si>
  <si>
    <t>Smolder, Learn, Inspired</t>
  </si>
  <si>
    <t>https://www.goodreads.com/book/show/48715915-the-guy-in-the-window</t>
  </si>
  <si>
    <t>Take Me, Break Me</t>
  </si>
  <si>
    <t>Cari Silverwood</t>
  </si>
  <si>
    <t>Contemporary, Erotic Romance</t>
  </si>
  <si>
    <t>BDSM or Kink, Forced Proximity, Second Chance</t>
  </si>
  <si>
    <t>Australia &amp; NZ</t>
  </si>
  <si>
    <t>Anal sex, Bondage &amp; Restraints, Double Penetration, Edging/Orgasm Denial, Free Use, Impact play (spanking etc), Maledom, Oral sex - cunnilingus, Oral sex - fellatio, Pet Play, PIV sex (penis in vagina), Sadism, Sex Toy Play, Needle Play</t>
  </si>
  <si>
    <t>Pierced Hearts #1</t>
  </si>
  <si>
    <t>https://www.goodreads.com/book/show/17264796</t>
  </si>
  <si>
    <t>Storm</t>
  </si>
  <si>
    <t>Carian Cole</t>
  </si>
  <si>
    <t>Celebrities- Rock star/Actor/Model, Forced Proximity, Opposites Attract, Tattoos &amp; Piercings</t>
  </si>
  <si>
    <t>Ashes &amp; Embers #1</t>
  </si>
  <si>
    <t>Swoon, Tingle, Laugh, Smolder, Transported</t>
  </si>
  <si>
    <t>https://www.goodreads.com/book/show/42832526-storm</t>
  </si>
  <si>
    <t>Daughter of No Worlds</t>
  </si>
  <si>
    <t>Carissa Broadbent</t>
  </si>
  <si>
    <t>BIPoC (Black, Indigenous, People of Colour), Vitiligo</t>
  </si>
  <si>
    <t>Third person, Multiple POV</t>
  </si>
  <si>
    <t>Amnesia, Forced Proximity, Grumpy/Sunshine, Sweet MC- beta hero/kindhearted heroine/etc</t>
  </si>
  <si>
    <t>The war of lost hearts book #1</t>
  </si>
  <si>
    <t>Swoon, Tingle, Laugh, Cry, Rage, Feel feels, Dream, Scared</t>
  </si>
  <si>
    <t>https://www.goodreads.com/book/show/49826643</t>
  </si>
  <si>
    <t>Fall Into You</t>
  </si>
  <si>
    <t>Caroline Frank</t>
  </si>
  <si>
    <t>Best Friend's Sibling, Holidays, Hurt/Comfort, Insta-lust/Insta-love/Insta-coffee, Medical- Doctor/Nurse/Vet etc, Rake/Player, Small Town</t>
  </si>
  <si>
    <t>Seasons of Love - 1</t>
  </si>
  <si>
    <t>https://www.goodreads.com/book/show/59088440-fall-into-you</t>
  </si>
  <si>
    <t>Shall We Dance?</t>
  </si>
  <si>
    <t>Contemporary, Romantic Comedy, Sports Romance</t>
  </si>
  <si>
    <t>Coworkers or Colleagues, Enemies-to-lovers (or dislike-to-love), Fake Relationship, Forced Proximity, Grumpy/Sunshine, Holidays, Only One Bed</t>
  </si>
  <si>
    <t>Seasons of Love - 2</t>
  </si>
  <si>
    <t>Swoon, Tingle, Laugh, Cry, Feel feels, Learn</t>
  </si>
  <si>
    <t>https://www.goodreads.com/book/show/60476072-shall-we-dance</t>
  </si>
  <si>
    <t>Happily Ever Disaster</t>
  </si>
  <si>
    <t>Best Friend's Sibling, Holidays, Insta-lust/Insta-love/Insta-coffee, Medical- Doctor/Nurse/Vet etc, Novella or Short Story</t>
  </si>
  <si>
    <t>Seasons of Love - 2.5</t>
  </si>
  <si>
    <t>Swoon, Tingle, Laugh</t>
  </si>
  <si>
    <t>https://www.goodreads.com/book/show/197891098-second-chance-snowmance</t>
  </si>
  <si>
    <t>Kings of Quarantine</t>
  </si>
  <si>
    <t>Caroline Peckham/Susanne Valenti</t>
  </si>
  <si>
    <t>Reverse Harem</t>
  </si>
  <si>
    <t>First person, Multiple POV</t>
  </si>
  <si>
    <t>Contemporary, Dark, New Adult (NA), Polyamorous</t>
  </si>
  <si>
    <t>Athlete, BDSM or Kink, Bully/Reformed Bully, Enemies-to-lovers (or dislike-to-love), Forced Proximity, Outdoorsy- forest/hiking/camping etc, Reverse Harem/Why Choose</t>
  </si>
  <si>
    <t>Bondage &amp; Restraints, Breath Play (eg.choking), Dirty Talk, Dom/Sub, Edging/Orgasm Denial, Impact play (spanking etc), Oral sex - cunnilingus, Oral sex - fellatio, PIV sex (penis in vagina), Praise Kink, Sadism, Sex Toy Play</t>
  </si>
  <si>
    <t>Brutal Boys of Everlake Prep #1</t>
  </si>
  <si>
    <t>Swoon, Cry, Rage, Dream</t>
  </si>
  <si>
    <t>https://www.amazon.com/gp/product/B086HW5S41</t>
  </si>
  <si>
    <t>Dark Siren</t>
  </si>
  <si>
    <t xml:space="preserve">Cassandra B Andreucci </t>
  </si>
  <si>
    <t>Fat/Plus Size/Body Positive</t>
  </si>
  <si>
    <t>Dark, Erotic Romance, Romantic Suspense</t>
  </si>
  <si>
    <t>Age Difference, BDSM or Kink, Forbidden or Taboo, Mafia/Gang/Criminal</t>
  </si>
  <si>
    <t>Bondage &amp; Restraints, Dirty Talk, Edging/Orgasm Denial, Impact play (spanking etc), Knife Play, Oral sex - cunnilingus, Oral sex - fellatio</t>
  </si>
  <si>
    <t>Vicious Games book #1</t>
  </si>
  <si>
    <t>Swoon, Rage, Smolder</t>
  </si>
  <si>
    <t>Explicit sex scenes, violence, blood &amp; murder, depictions of domestic &amp; child abuse, allusions to child sexual abuse, depictions of a toxic relationship, harassment, bullying &amp; body shaming (not by the main couple), drug use, blasphemy, kink-related activities</t>
  </si>
  <si>
    <t>https://www.goodreads.com/book/show/61068937-dark-siren</t>
  </si>
  <si>
    <t>Cassandra B. Andreucci</t>
  </si>
  <si>
    <t>Age Difference, BDSM or Kink, Billionaires/Millionaires/Gazillionaires etc, Mafia/Gang/Criminal</t>
  </si>
  <si>
    <t>Bondage &amp; Restraints, Dirty Talk, Edging/Orgasm Denial, Impact play (spanking etc), Knife Play</t>
  </si>
  <si>
    <t>Vicious Games Book #1</t>
  </si>
  <si>
    <t>Tingle, Laugh, Cry, Rage, Smolder</t>
  </si>
  <si>
    <t xml:space="preserve">Mentions and allusions to child physical abuse, domestic abuse, toxic relationship, body shaming and bullying, drug use, underage drinking, blood, murder, violence, explicit sexual content and kink related activities </t>
  </si>
  <si>
    <t>Wicked Ugly Bad</t>
  </si>
  <si>
    <t>Cassandra Gannon</t>
  </si>
  <si>
    <t>Adventure, Fantasy &amp; Gothic, Romantic Comedy</t>
  </si>
  <si>
    <t>Creatures or Monsters- Dragon/Orc/Fae/etc, Fated Mates, Retellings- Fairytale/Folklore/Mythology, Shifter/Wereperson</t>
  </si>
  <si>
    <t>A Kinda Fairytale #1</t>
  </si>
  <si>
    <t>false imprisonment of MC, prior sexual assault of MMC</t>
  </si>
  <si>
    <t>https://www.goodreads.com/book/show/17609278-wicked-ugly-bad</t>
  </si>
  <si>
    <t>Charge</t>
  </si>
  <si>
    <t>Cate C Wells</t>
  </si>
  <si>
    <t xml:space="preserve">Struggling single mom moves in next to biker guy! </t>
  </si>
  <si>
    <t>Age Difference, Motorcycle Club, Outdoorsy- forest/hiking/camping etc, Single Parent, Small Town</t>
  </si>
  <si>
    <t>Steel Bones Motorcycle Club #1</t>
  </si>
  <si>
    <t>Swoon, Feel feels, Smolder, Inspired</t>
  </si>
  <si>
    <t>https://www.goodreads.com/book/show/51035708-charge</t>
  </si>
  <si>
    <t>Against A Wall</t>
  </si>
  <si>
    <t>Bully/Reformed Bully, Class Differences, Enemies-to-lovers (or dislike-to-love), Fake Relationship, Grumpy/Sunshine, Ordinary MC- Average looks or career, Small Town</t>
  </si>
  <si>
    <t>Stonecut Country</t>
  </si>
  <si>
    <t>Swoon, Tingle</t>
  </si>
  <si>
    <t>https://www.goodreads.com/book/show/59725768-against-a-wall</t>
  </si>
  <si>
    <t>Power Play</t>
  </si>
  <si>
    <t>Chelsea Curto</t>
  </si>
  <si>
    <t>Sports Romance</t>
  </si>
  <si>
    <t>Grumpy/Sunshine, Relationship Coach-  (ie; Teach me how to kiss)</t>
  </si>
  <si>
    <t>The D.C. Stars</t>
  </si>
  <si>
    <t>Swoon</t>
  </si>
  <si>
    <t>https://www.goodreads.com/book/show/218022571-power-play</t>
  </si>
  <si>
    <t>The Sea Ain't Mine Alone</t>
  </si>
  <si>
    <t>CL Beaumont</t>
  </si>
  <si>
    <t>LGBTQIA+ &amp; GSM (Gender and Sexual Minorities), Neurodivergent (Autism, ADHD, dyspraxia, dyslexia, etc), Physical disability or illness, Mental disability or illness</t>
  </si>
  <si>
    <t xml:space="preserve">Two surfers: MC1 is a Vietnam vet with scars and PTSD; MC2 is touch starved, tortured, and neurodivergent. He can see the physics and read the waves without any formal education. </t>
  </si>
  <si>
    <t>Historical Romance, Sports Romance</t>
  </si>
  <si>
    <t>Age Difference, Angst, Athlete, Forbidden or Taboo, Geek/Nerd/Misfit/Genius, Loner/Isolated, Slow Burn, Sweet MC- beta hero/kindhearted heroine/etc, Wounded Hero/Heroine &amp; War Heroes/Heroines, Surfing, 1976</t>
  </si>
  <si>
    <t>Anal sex, Dirty Talk, Oral sex - fellatio</t>
  </si>
  <si>
    <t>PTSD, war, homophobia, childhood neglect, internalized homophobia</t>
  </si>
  <si>
    <t>https://www.goodreads.com/book/show/44788569-the-sea-ain-t-mine-alone?ac=1&amp;from_search=true&amp;qid=EuCtQJ0mqg&amp;rank=1</t>
  </si>
  <si>
    <t>Last Light</t>
  </si>
  <si>
    <t>Claire Kent</t>
  </si>
  <si>
    <t>Age-gap post apocalyptic romance. Travis is a family friend who’s lost his wife&amp;kid while Layne is struggling to survive on her own. They team up to survive. Sexual tension OFF THE CHARTS</t>
  </si>
  <si>
    <t>Adventure, Erotic Romance, New Adult (NA)</t>
  </si>
  <si>
    <t>Age Difference, Dystopian, Only One Bed, Outdoorsy- forest/hiking/camping etc</t>
  </si>
  <si>
    <t xml:space="preserve">Gun Violence, Scene where mc is about to be assaulted but saved </t>
  </si>
  <si>
    <t>https://www.goodreads.com/book/show/59026826</t>
  </si>
  <si>
    <t>The Mogul and the Muscle</t>
  </si>
  <si>
    <t>Claire Kingsley</t>
  </si>
  <si>
    <t>Billionaires/Millionaires/Gazillionaires etc</t>
  </si>
  <si>
    <t>Bluewater Billionaires</t>
  </si>
  <si>
    <t>https://www.goodreads.com/series/271197-bluewater-billionaires</t>
  </si>
  <si>
    <t>All Through The Night</t>
  </si>
  <si>
    <t>Connie Brockway</t>
  </si>
  <si>
    <t>Historical Romance, Romantic Suspense</t>
  </si>
  <si>
    <t>Enemies-to-lovers (or dislike-to-love), Mistaken or False Identity, Spy/Intrigue/Mystery</t>
  </si>
  <si>
    <t>Swoon, Tingle, Feel feels, Smolder, Transported</t>
  </si>
  <si>
    <t>https://www.goodreads.com/book/show/169992.All_Through_the_Night</t>
  </si>
  <si>
    <t>Soldier Boy</t>
  </si>
  <si>
    <t>Donna Alam</t>
  </si>
  <si>
    <t>Contemporary, Erotic Romance, Military or Security</t>
  </si>
  <si>
    <t>Age Difference, Forced Proximity, Friends-to-lovers, Insta-lust/Insta-love/Insta-coffee, Sweet MC- beta hero/kindhearted heroine/etc</t>
  </si>
  <si>
    <t>https://www.goodreads.com/book/show/41432775-soldier-boy</t>
  </si>
  <si>
    <t>Merry Christmas Mr. Miggles</t>
  </si>
  <si>
    <t>Eli Easton</t>
  </si>
  <si>
    <t>Age Difference, Coworkers or Colleagues, Friends-to-lovers, Holidays, Hurt/Comfort, Novella or Short Story, Small Town, Sweet MC- beta hero/kindhearted heroine/etc, Teacher/Writer/Librarian</t>
  </si>
  <si>
    <t>Swoon, Rage, Inspired, Transported</t>
  </si>
  <si>
    <t xml:space="preserve">Allegations of child sexual assault (that did not happen) child abuse and neglect, past child death from vehicle accident. </t>
  </si>
  <si>
    <t>https://www.goodreads.com/book/show/32920009-merry-christmas-mr-miggles</t>
  </si>
  <si>
    <t>Ever Yours, Annabelle</t>
  </si>
  <si>
    <t>Elisa Braden</t>
  </si>
  <si>
    <t>Age Difference, Childhood Friends, Pining/Yearning, Regency, Second Chance, Sibling's Best Friend, Spy/Intrigue/Mystery, Matchmaking, White-Fanged</t>
  </si>
  <si>
    <t>Rescued From Ruin #0.5</t>
  </si>
  <si>
    <t>Swoon, Rage, Inspired</t>
  </si>
  <si>
    <t>0ff-page murder; graphic injury; accident</t>
  </si>
  <si>
    <t>https://www.goodreads.com/book/show/45303273-ever-yours-annabelle</t>
  </si>
  <si>
    <t>A Deal With The Elf King</t>
  </si>
  <si>
    <t>Elise Kova</t>
  </si>
  <si>
    <t>Creatures or Monsters- Dragon/Orc/Fae/etc, Marriage of Convenience (or arranged marriage), Opposites Attract, Slow Burn, Witch/Wizard/Warlock etc</t>
  </si>
  <si>
    <t>Married to Magic #1</t>
  </si>
  <si>
    <t>https://www.goodreads.com/book/show/55626358-a-deal-with-the-elf-king</t>
  </si>
  <si>
    <t>Within Her Words</t>
  </si>
  <si>
    <t>Elizabeth Brady</t>
  </si>
  <si>
    <t>Historical Romance, Romantic Comedy</t>
  </si>
  <si>
    <t>Friends-to-lovers, Geek/Nerd/Misfit/Genius, Holidays, Novella or Short Story, Regency, Sweet MC- beta hero/kindhearted heroine/etc</t>
  </si>
  <si>
    <t>Blakemoor Series #1</t>
  </si>
  <si>
    <t>Laugh, Dream</t>
  </si>
  <si>
    <t>https://www.goodreads.com/book/show/27865167-within-her-words</t>
  </si>
  <si>
    <t>Devil You Know</t>
  </si>
  <si>
    <t>Elizabeth O'Roark</t>
  </si>
  <si>
    <t>Coworkers or Colleagues, Enemies-to-lovers (or dislike-to-love), Loner/Isolated, Off Limits (ie; Brother's Best Friend)</t>
  </si>
  <si>
    <t>Swoon, Tingle, Feel feels, Dream, Smolder</t>
  </si>
  <si>
    <t>https://www.goodreads.com/book/show/60062931-the-devil-you-know</t>
  </si>
  <si>
    <t>A King So Cold</t>
  </si>
  <si>
    <t>Ella Fields</t>
  </si>
  <si>
    <t>Fantasy &amp; Gothic, Romantic Suspense</t>
  </si>
  <si>
    <t>Amnesia, Angst, Marriage of Convenience (or arranged marriage), Married Couple or Troubled Marriage, Regency, Royalty, Witch/Wizard/Warlock etc</t>
  </si>
  <si>
    <t>Royals #1</t>
  </si>
  <si>
    <t>https://www.goodreads.com/book/show/51157394-a-king-so-cold</t>
  </si>
  <si>
    <t>The Hardest Fall</t>
  </si>
  <si>
    <t>Ella Maise</t>
  </si>
  <si>
    <t>Sports Romance, New Adult (NA)</t>
  </si>
  <si>
    <t>Forced Proximity, Friends-to-lovers, Neighbors-to-lovers</t>
  </si>
  <si>
    <t>https://www.goodreads.com/book/show/39880512-the-hardest-fall</t>
  </si>
  <si>
    <t>Marriage For One</t>
  </si>
  <si>
    <t>Fake Relationship, Foodies- Chef/Baker/Bartender etc, Marriage of Convenience (or arranged marriage), Slow Burn</t>
  </si>
  <si>
    <t>https://www.goodreads.com/book/show/45694898-marriage-for-one</t>
  </si>
  <si>
    <t>Artistic License</t>
  </si>
  <si>
    <t>Elle Pierson</t>
  </si>
  <si>
    <t>Art Themed- Music/Dance/Sculpture, Bodyguards &amp; Security, Friends-to-lovers, Opposites Attract</t>
  </si>
  <si>
    <t>assault of FMC (not by MMC)</t>
  </si>
  <si>
    <t>https://www.goodreads.com/book/show/20979029-artistic-license</t>
  </si>
  <si>
    <t>Flawless</t>
  </si>
  <si>
    <t>Elsie Silver</t>
  </si>
  <si>
    <t>Enemies-to-lovers (or dislike-to-love)</t>
  </si>
  <si>
    <t>Chestnut Springs #1</t>
  </si>
  <si>
    <t>https://www.goodreads.com/book/show/60755618-flawless</t>
  </si>
  <si>
    <t>An Earl in Wolf's Clothing</t>
  </si>
  <si>
    <t>Emily Windsor</t>
  </si>
  <si>
    <t>Regency</t>
  </si>
  <si>
    <t>Rule of the Rogue #1</t>
  </si>
  <si>
    <t>https://www.goodreads.com/book/show/36318640-an-earl-in-wolf-s-clothing</t>
  </si>
  <si>
    <t>Marquess to a Flame</t>
  </si>
  <si>
    <t>Emily WIndsor</t>
  </si>
  <si>
    <t>Spy/Intrigue/Mystery</t>
  </si>
  <si>
    <t>Rules of the Rogue #4</t>
  </si>
  <si>
    <t>Swoon, Feel feels, Transported</t>
  </si>
  <si>
    <t>FMC is assaulted (off page)</t>
  </si>
  <si>
    <t>https://www.goodreads.com/book/show/43659471-marquess-to-a-flame</t>
  </si>
  <si>
    <t>Someday, Someday</t>
  </si>
  <si>
    <t>Emma Scott</t>
  </si>
  <si>
    <t>Billionaires/Millionaires/Gazillionaires etc, Medical- Doctor/Nurse/Vet etc, Slow Burn</t>
  </si>
  <si>
    <t>Swoon, Laugh, Cry, Feel feels</t>
  </si>
  <si>
    <t>Drug abuse, homophobia, physical assault</t>
  </si>
  <si>
    <t>https://www.goodreads.com/book/show/41450826-someday-someday</t>
  </si>
  <si>
    <t>Rush</t>
  </si>
  <si>
    <t>Blind MMC</t>
  </si>
  <si>
    <t>Caretaker/Nanny/Governess, Enemies-to-lovers (or dislike-to-love)</t>
  </si>
  <si>
    <t>City Lights #3</t>
  </si>
  <si>
    <t>Swoon, Laugh, Cry, Inspired</t>
  </si>
  <si>
    <t>https://www.goodreads.com/book/show/25814647-rush</t>
  </si>
  <si>
    <t>Flaming June</t>
  </si>
  <si>
    <t>Emma V. Leech</t>
  </si>
  <si>
    <t>Rogues &amp; Gentlemen #10</t>
  </si>
  <si>
    <t>Swoon, Laugh, Cry, Feel feels, Learn</t>
  </si>
  <si>
    <t>Suicide attempt</t>
  </si>
  <si>
    <t>https://www.goodreads.com/book/show/40280900-flaming-june</t>
  </si>
  <si>
    <t>A Walrus and a Gentleman</t>
  </si>
  <si>
    <t>Emmaline Strange</t>
  </si>
  <si>
    <t>Age Difference, Angst, Forced Proximity, Pining/Yearning, Shifter/Wereperson, Sweet MC- beta hero/kindhearted heroine/etc</t>
  </si>
  <si>
    <t>Anal sex, Oral sex - fellatio</t>
  </si>
  <si>
    <t>Laugh, Cry, Feel feels</t>
  </si>
  <si>
    <t>https://www.goodreads.com/book/show/59332168-a-walrus-a-gentleman</t>
  </si>
  <si>
    <t>Severance Package</t>
  </si>
  <si>
    <t>Evelyn Page</t>
  </si>
  <si>
    <t>Erotic Romance, Polyamorous, Romantic Suspense</t>
  </si>
  <si>
    <t>Coworkers or Colleagues, Friends-to-lovers, Hurt/Comfort, Menage, One Night Stand, Pining/Yearning, Reverse Harem/Why Choose, Sweet MC- beta hero/kindhearted heroine/etc</t>
  </si>
  <si>
    <t>Anal sex, Dirty Talk, Double Penetration, Exhibitionism, Oral sex - cunnilingus, Oral sex - fellatio, PIV sex (penis in vagina), Praise Kink</t>
  </si>
  <si>
    <t>Swoon, Tingle, Laugh, Smolder</t>
  </si>
  <si>
    <t xml:space="preserve">Pregnancy in epilogue </t>
  </si>
  <si>
    <t>Ship It</t>
  </si>
  <si>
    <t>Evie Blum</t>
  </si>
  <si>
    <t>Young professionals in the SF bay area.</t>
  </si>
  <si>
    <t>Coworkers or Colleagues, One Night Stand</t>
  </si>
  <si>
    <t>Oral sex - cunnilingus, Oral sex - fellatio, PIV sex (penis in vagina)</t>
  </si>
  <si>
    <t>Laugh, Cry, Dream</t>
  </si>
  <si>
    <t>https://www.goodreads.com/book/show/63896353-ship-it?ac=1&amp;from_search=true&amp;qid=IxZ7IYyJFk&amp;rank=1</t>
  </si>
  <si>
    <t>Let Your Hearts Be Light</t>
  </si>
  <si>
    <t>Fae Quin</t>
  </si>
  <si>
    <t>Both MMCs are over 40 and single parents</t>
  </si>
  <si>
    <t>Blue Collar/Farmer/Rancher etc, Enemies-to-lovers (or dislike-to-love), Foodies- Chef/Baker/Bartender etc, Grumpy/Sunshine, Holidays, Mature (35 and over), Single Parent, Small Town, Tattoos &amp; Piercings</t>
  </si>
  <si>
    <t>Anal sex, Oral sex - fellatio, Food Play, Rimming</t>
  </si>
  <si>
    <t>Christmas Daddies #1</t>
  </si>
  <si>
    <t>Swoon, Tingle, Laugh, Feel feels</t>
  </si>
  <si>
    <t>Sibling death (car accident), panic attacks, anxiety, parental neglect</t>
  </si>
  <si>
    <t>https://www.goodreads.com/book/show/63327305-let-your-hearts-be-light?ref=nav_sb_ss_1_24</t>
  </si>
  <si>
    <t>Convergence of Desire</t>
  </si>
  <si>
    <t xml:space="preserve">Felicity Niven </t>
  </si>
  <si>
    <t>Neurodivergent FMC (who you can’t help but fall in love with) and rake MMC who slowly becomes reformed, and is trying his best even if he’s a bit emotionally stunted!</t>
  </si>
  <si>
    <t>Marriage of Convenience (or arranged marriage), Only One Bed, Pining/Yearning, Rake/Player, Relationship Coach-  (ie; Teach me how to kiss), Regency, Slow Burn, Virgin MC</t>
  </si>
  <si>
    <t>Oral sex - cunnilingus, PIV sex (penis in vagina)</t>
  </si>
  <si>
    <t>The Lovelocks of London #1</t>
  </si>
  <si>
    <t xml:space="preserve">Sexual assault/attempted rape (not by the MMC), consensual non-monogamy (to start with - it’s a very slow burn! Not too much detail of this though), injury &amp; blood, brief suicidal thoughts mentioned </t>
  </si>
  <si>
    <t>https://www.goodreads.com/book/show/61993247</t>
  </si>
  <si>
    <t>The Governess and the Orc</t>
  </si>
  <si>
    <t>Finley Fenn</t>
  </si>
  <si>
    <t>Fantasy</t>
  </si>
  <si>
    <t>Caretaker/Nanny/Governess, Creatures or Monsters- Dragon/Orc/Fae/etc, Fake Relationship, Road Trip/Travel, Teacher/Writer/Librarian</t>
  </si>
  <si>
    <t>Orc Sworn #7</t>
  </si>
  <si>
    <t>Laugh, Feel feels, Transported</t>
  </si>
  <si>
    <t>https://www.goodreads.com/book/show/61311029-the-governess-and-the-orc</t>
  </si>
  <si>
    <t>The Librarian and the Orc</t>
  </si>
  <si>
    <t>BDSM or Kink, Creatures or Monsters- Dragon/Orc/Fae/etc, Enemies-to-lovers (or dislike-to-love), Teacher/Writer/Librarian</t>
  </si>
  <si>
    <t>Orc Sworn #3</t>
  </si>
  <si>
    <t>Swoon, Laugh, Cry, Feel feels, Dream, Smolder, Transported</t>
  </si>
  <si>
    <t>https://www.goodreads.com/book/show/53581106-the-librarian-and-the-orc</t>
  </si>
  <si>
    <t>Bloody Sunrise</t>
  </si>
  <si>
    <t>Gwendolyn Harper</t>
  </si>
  <si>
    <t>Fantastic communication</t>
  </si>
  <si>
    <t>Adventure, Romantic Suspense</t>
  </si>
  <si>
    <t>Dystopian, Forced Proximity, Friends-to-lovers, Hurt/Comfort, Novella or Short Story, Only One Bed, Opposites Attract, Road Trip/Travel, survival/post-apoc</t>
  </si>
  <si>
    <t>Zombie Apocalypse 1 of 3</t>
  </si>
  <si>
    <t>Swoon, Laugh, Feel feels, Scared</t>
  </si>
  <si>
    <t>mentions of past child abuse, past suicide ideation, almost an attempted SA</t>
  </si>
  <si>
    <t>https://www.goodreads.com/book/show/41033347-bloody-sunrise</t>
  </si>
  <si>
    <t>How to Save an Undead Life</t>
  </si>
  <si>
    <t>Hailey Edwards</t>
  </si>
  <si>
    <t>Friends-to-lovers, Love Triangle, Neighbors-to-lovers, Slow Burn, Sweet MC- beta hero/kindhearted heroine/etc</t>
  </si>
  <si>
    <t>The Beginner's Guide to Necromancy #1</t>
  </si>
  <si>
    <t>imprisonment and torture of FMC</t>
  </si>
  <si>
    <t>https://www.goodreads.com/book/show/25421052-how-to-save-an-undead-life</t>
  </si>
  <si>
    <t>Wrong For You</t>
  </si>
  <si>
    <t>Harloe Rae</t>
  </si>
  <si>
    <t>Second Chance, Single Parent, Small Town</t>
  </si>
  <si>
    <t>Dirty Talk, Oral sex - cunnilingus</t>
  </si>
  <si>
    <t>https://www.goodreads.com/book/show/123258719-wrong-for-you</t>
  </si>
  <si>
    <t>Cold Hearted</t>
  </si>
  <si>
    <t>Heather Guerre</t>
  </si>
  <si>
    <t>Blue Collar/Farmer/Rancher etc, Forced Proximity, Neighbors-to-lovers, Only One Bed, Shifter/Wereperson, Small Town</t>
  </si>
  <si>
    <t>Tooth &amp; Claw book #1</t>
  </si>
  <si>
    <t>Mental illness</t>
  </si>
  <si>
    <t>https://www.goodreads.com/book/show/61594456-cold-hearted</t>
  </si>
  <si>
    <t xml:space="preserve">The Witch's Wolf </t>
  </si>
  <si>
    <t>Heather K. Carson</t>
  </si>
  <si>
    <t>Paranormal</t>
  </si>
  <si>
    <t>Dystopian, Fated Mates, Shifter/Wereperson, Witch/Wizard/Warlock etc</t>
  </si>
  <si>
    <t>Fated Destinies #1</t>
  </si>
  <si>
    <t>https://www.goodreads.com/book/show/122569261-the-witch-s-wolf</t>
  </si>
  <si>
    <t>Fierce Dancer</t>
  </si>
  <si>
    <t>Heather Long</t>
  </si>
  <si>
    <t>Neurodivergent (Autism, ADHD, dyspraxia, dyslexia, etc), Mental disability or illness</t>
  </si>
  <si>
    <t xml:space="preserve">FMC Emersyn is fiery and tenacious. She's had a tough childhood but is ultimately saved by her brother and his gang known as "Vandals". The Vandals are committed to making their neighbourhood safer than it was for them growing up by running a free clinic, giving local kids legitimate jobs and protecting the area from other gangs. The Vandals are all unique with their own quirks. One is slightly neurdivergent, another suffers from severe addiction, another has PTSD.. each character develops throughout the series and establishes their own relationship with Emersyn. </t>
  </si>
  <si>
    <t xml:space="preserve">Dual POV, Every main character has pov. </t>
  </si>
  <si>
    <t>Contemporary, Erotic Romance, New Adult (NA), Polyamorous</t>
  </si>
  <si>
    <t>Age Difference, Angst, Enemies-to-lovers (or dislike-to-love), Grumpy/Sunshine, Hurt/Comfort, Mafia/Gang/Criminal, Reverse Harem/Why Choose, Tattoos &amp; Piercings, Wounded Hero/Heroine &amp; War Heroes/Heroines</t>
  </si>
  <si>
    <t>Anal sex, Dirty Talk, Dom/Sub, Double Penetration, Impact play (spanking etc), Oral sex - cunnilingus, Oral sex - fellatio, PIV sex (penis in vagina), Praise Kink</t>
  </si>
  <si>
    <t>82 Street vandals book #9</t>
  </si>
  <si>
    <t>Tingle, Feel feels</t>
  </si>
  <si>
    <t>Assault, murder, kidnap, torture, claustrophobia, non-consensual</t>
  </si>
  <si>
    <t>https://www.goodreads.com/book/show/119252474-fierce-dancer</t>
  </si>
  <si>
    <t>Alaska Wild</t>
  </si>
  <si>
    <t>Helena Newbury</t>
  </si>
  <si>
    <t>Antihero/Villian/Stockholm Syndrome, Enemies-to-lovers (or dislike-to-love), Forced Proximity, Outdoorsy- forest/hiking/camping etc, Wounded Hero/Heroine &amp; War Heroes/Heroines</t>
  </si>
  <si>
    <t>Rage, Smolder, Scared, Transported</t>
  </si>
  <si>
    <t xml:space="preserve">PTSD, claustrophobia, gang violence, military danger, past torture, planned kidnapping, starvation, chase scenes, other dangerous situations </t>
  </si>
  <si>
    <t>https://www.goodreads.com/book/show/33718834-alaska-wild</t>
  </si>
  <si>
    <t>Mount Mercy</t>
  </si>
  <si>
    <t>Forced Proximity, Mafia/Gang/Criminal, Medical- Doctor/Nurse/Vet etc, Spy/Intrigue/Mystery, Wounded Hero/Heroine &amp; War Heroes/Heroines</t>
  </si>
  <si>
    <t>Smolder, Scared</t>
  </si>
  <si>
    <t>All sorts of violence, bullet wounds, hostage situations, criminal activity, car wrecks</t>
  </si>
  <si>
    <t>https://www.goodreads.com/book/show/42608724-mount-mercy</t>
  </si>
  <si>
    <t>Outlaw's Promise</t>
  </si>
  <si>
    <t>Insta-lust/Insta-love/Insta-coffee, Motorcycle Club</t>
  </si>
  <si>
    <t>Swoon, Feel feels, Smolder</t>
  </si>
  <si>
    <t>https://www.goodreads.com/book/show/32725923-outlaw-s-promise?from_search=true&amp;from_srp=true&amp;qid=FnYaD9uaJH&amp;rank=1</t>
  </si>
  <si>
    <t>Into the Arms of the Storm</t>
  </si>
  <si>
    <t>Hollis Kay</t>
  </si>
  <si>
    <t>Adventure, Contemporary, Erotic Romance</t>
  </si>
  <si>
    <t>BDSM or Kink, Slow Burn, Contract Killer/Hitman</t>
  </si>
  <si>
    <t>The Storm #1</t>
  </si>
  <si>
    <t>strong sexual themes, strong language, sexual assault, abuse, and graphic violence.</t>
  </si>
  <si>
    <t>https://www.goodreads.com/book/show/54837552-into-the-arms-of-the-storm</t>
  </si>
  <si>
    <t>The Amish Alibi: Cellmates and Soulmates</t>
  </si>
  <si>
    <t>Hosannah Sweitzer</t>
  </si>
  <si>
    <t>F/F</t>
  </si>
  <si>
    <t>LGBTQIA+ &amp; GSM (Gender and Sexual Minorities), BIPoC (Black, Indigenous, People of Colour), Religious Minorities</t>
  </si>
  <si>
    <t>MC is an Amish woman framed and imprisoned for murder, LI is her cellmate who is connected to the real killer</t>
  </si>
  <si>
    <t>First person, Third person</t>
  </si>
  <si>
    <t>Adventure, Dark, Romantic Suspense</t>
  </si>
  <si>
    <t>Antihero/Villian/Stockholm Syndrome, BDSM or Kink, Forbidden or Taboo, Forced Proximity, Mafia/Gang/Criminal, Off Limits (ie; Brother's Best Friend), Spy/Intrigue/Mystery, Sweet MC- beta hero/kindhearted heroine/etc, Virgin MC</t>
  </si>
  <si>
    <t>Swoon, Cry, Feel feels, Smolder, Inspired</t>
  </si>
  <si>
    <t>Murder mentioned, not shown</t>
  </si>
  <si>
    <t>https://www.goodreads.com/book/show/196182641-the-amish-alibi</t>
  </si>
  <si>
    <t>Faith, Fangs, and Face-offs: A Tale of Amish Nights, Werewolf Bites, and Hockey Fights</t>
  </si>
  <si>
    <t>Religious Minorities, Physical disability or illness, Mental disability or illness</t>
  </si>
  <si>
    <t>Amish woman and werewolf hockey player</t>
  </si>
  <si>
    <t>Paranormal, Romantic Suspense, Sports Romance</t>
  </si>
  <si>
    <t>Athlete, Enemies-to-lovers (or dislike-to-love), Forced Proximity, Retellings- Fairytale/Folklore/Mythology, Shifter/Wereperson</t>
  </si>
  <si>
    <t>Kidnapping, murder</t>
  </si>
  <si>
    <t>https://www.goodreads.com/book/show/196732035-faith-fangs-and-face-offs</t>
  </si>
  <si>
    <t>Dear Ava</t>
  </si>
  <si>
    <t>Ilsa Madden-Mills</t>
  </si>
  <si>
    <t>Contemporary, New Adult (NA)</t>
  </si>
  <si>
    <t>Antihero/Villian/Stockholm Syndrome, Angst, Bully/Reformed Bully, Enemies-to-lovers (or dislike-to-love)</t>
  </si>
  <si>
    <t>Rape, drug abuse, suicide</t>
  </si>
  <si>
    <t>https://www.goodreads.com/book/show/50900667-dear-ava</t>
  </si>
  <si>
    <t>Saving Askara</t>
  </si>
  <si>
    <t>J. M. Link</t>
  </si>
  <si>
    <t>Creatures or Monsters- Dragon/Orc/Fae/etc, Medical- Doctor/Nurse/Vet etc</t>
  </si>
  <si>
    <t>Saving Askara #1</t>
  </si>
  <si>
    <t>https://www.goodreads.com/book/show/50385976-saving-askara</t>
  </si>
  <si>
    <t>Melt For You</t>
  </si>
  <si>
    <t>J. T. Geissinger</t>
  </si>
  <si>
    <t>Friends-to-lovers, Relationship Coach-  (ie; Teach me how to kiss), Ordinary MC- Average looks or career, Slow Burn</t>
  </si>
  <si>
    <t>Slow Burn #2 ku audio</t>
  </si>
  <si>
    <t>Tingle, Laugh</t>
  </si>
  <si>
    <t>https://www.goodreads.com/book/show/36564103-melt-for-you</t>
  </si>
  <si>
    <t>Rules of Engagement</t>
  </si>
  <si>
    <t>Insta-lust/Insta-love/Insta-coffee, Relationship Coach-  (ie; Teach me how to kiss), Opposites Attract</t>
  </si>
  <si>
    <t>https://www.goodreads.com/book/show/52838537-rules-of-engagement</t>
  </si>
  <si>
    <t>The Rules</t>
  </si>
  <si>
    <t>Jamie Fessenden</t>
  </si>
  <si>
    <t>MMM</t>
  </si>
  <si>
    <t>Established couple adding a third</t>
  </si>
  <si>
    <t>Contemporary, Polyamorous</t>
  </si>
  <si>
    <t>Age Difference, Caretaker/Nanny/Governess, Forced Proximity, Menage, Ordinary MC- Average looks or career</t>
  </si>
  <si>
    <t>sexual assault of MC and a very sparse recount of when one of the love interests was raped</t>
  </si>
  <si>
    <t>https://www.goodreads.com/book/show/36196052-the-rules</t>
  </si>
  <si>
    <t>Plier</t>
  </si>
  <si>
    <t>Jane Washington</t>
  </si>
  <si>
    <t>RH</t>
  </si>
  <si>
    <t>A/B/O (alpha/beta/omega), Fated Mates, Hurt/Comfort, Loner/Isolated</t>
  </si>
  <si>
    <t>Ironside Academy #1</t>
  </si>
  <si>
    <t>Laugh, Rage, Transported</t>
  </si>
  <si>
    <t>https://www.goodreads.com/book/show/123735338-plier</t>
  </si>
  <si>
    <t xml:space="preserve">Kumquat </t>
  </si>
  <si>
    <t>Jeff Strand</t>
  </si>
  <si>
    <t xml:space="preserve">Just 2 normal people on a bonkers adventure. </t>
  </si>
  <si>
    <t>Friends-to-lovers, Insta-lust/Insta-love/Insta-coffee, Ordinary MC- Average looks or career, Road Trip/Travel</t>
  </si>
  <si>
    <t>Oral sex - cunnilingus</t>
  </si>
  <si>
    <t xml:space="preserve">Out dated pop culture references, HFN ending </t>
  </si>
  <si>
    <t>https://www.goodreads.com/book/show/22366313</t>
  </si>
  <si>
    <t>Come As You Are</t>
  </si>
  <si>
    <t>Jess K. Hardy</t>
  </si>
  <si>
    <t>Over 40</t>
  </si>
  <si>
    <t>MMC is a former rockstar and currently runs a sober living house. FMC is a divorced mom trying to save her family ski resort.</t>
  </si>
  <si>
    <t>Celebrities- Rock star/Actor/Model, Coworkers or Colleagues, Mature (35 and over), Outdoorsy- forest/hiking/camping etc, Single Parent, Small Town, Tattoos &amp; Piercings</t>
  </si>
  <si>
    <t>Dirty Talk, Edging/Orgasm Denial, Oral sex - cunnilingus, Oral sex - fellatio, PIV sex (penis in vagina)</t>
  </si>
  <si>
    <t>Bluebird Basin #1</t>
  </si>
  <si>
    <t>addiction, divorce, a gaslighting ex, mourning the loss of a parent, difficult parental relationship</t>
  </si>
  <si>
    <t>https://www.goodreads.com/book/show/61615903-come-as-you-are?ac=1&amp;from_search=true&amp;qid=BiLv69ZOVB&amp;rank=1</t>
  </si>
  <si>
    <t>Polaris Rising</t>
  </si>
  <si>
    <t>Jesse Mihalik</t>
  </si>
  <si>
    <t>Antihero/Villian/Stockholm Syndrome, Angst, Enemies-to-lovers (or dislike-to-love), Forced Proximity, Political, Outlaws</t>
  </si>
  <si>
    <t>Consortium Rebellion #1</t>
  </si>
  <si>
    <t>https://www.goodreads.com/book/show/35662096-polaris-rising</t>
  </si>
  <si>
    <t>14 Weeks</t>
  </si>
  <si>
    <t>Jessica Gadziala</t>
  </si>
  <si>
    <t>FMC: Girly girl and at the same time NLOG :) MMC PI with bad past.</t>
  </si>
  <si>
    <t>Contemporary, Military or Security, Romantic Suspense</t>
  </si>
  <si>
    <t>Bodyguards &amp; Security, Spy/Intrigue/Mystery</t>
  </si>
  <si>
    <t>Investigators #2</t>
  </si>
  <si>
    <t>Assault of secondary character. FMC sees video.</t>
  </si>
  <si>
    <t>https://www.goodreads.com/book/show/33950707-14-weeks</t>
  </si>
  <si>
    <t>Visions of Scarlett</t>
  </si>
  <si>
    <t>Jessie Ellis</t>
  </si>
  <si>
    <t>Contemporary, Dark, Paranormal, Romantic Suspense</t>
  </si>
  <si>
    <t>Age Difference</t>
  </si>
  <si>
    <t>Dirty Talk, Oral sex - cunnilingus, Praise Kink</t>
  </si>
  <si>
    <t>Cursed in Clayton Book 1</t>
  </si>
  <si>
    <t>Tingle, Scared</t>
  </si>
  <si>
    <t>past abuse</t>
  </si>
  <si>
    <t>https://www.goodreads.com/book/show/147981840-visions-of-scarlett</t>
  </si>
  <si>
    <t>Wicked</t>
  </si>
  <si>
    <t>Jill Barnett</t>
  </si>
  <si>
    <t>Angst, Enemies-to-lovers (or dislike-to-love), Marriage of Convenience (or arranged marriage), Medieval, Second Chance, Slow Burn</t>
  </si>
  <si>
    <t>Medieval/The Border Brides #3</t>
  </si>
  <si>
    <t>Swoon, Laugh, Feel feels, Transported</t>
  </si>
  <si>
    <t>https://www.goodreads.com/book/show/520541.Wicked</t>
  </si>
  <si>
    <t>WIld</t>
  </si>
  <si>
    <t>Class Differences, Hurt/Comfort, Loner/Isolated, Medieval, Outdoorsy- forest/hiking/camping etc, Wounded Hero/Heroine &amp; War Heroes/Heroines</t>
  </si>
  <si>
    <t>Medieval/The Border Brides #2</t>
  </si>
  <si>
    <t>Swoon, Tingle, Feel feels, Transported</t>
  </si>
  <si>
    <t>https://www.goodreads.com/book/show/520543.Wild</t>
  </si>
  <si>
    <t>The Summer Duke</t>
  </si>
  <si>
    <t>Jillian Eaton</t>
  </si>
  <si>
    <t>Insta-lust/Insta-love/Insta-coffee, Marriage of Convenience (or arranged marriage), Novella or Short Story, Regency</t>
  </si>
  <si>
    <t>A Duke For All Season #3</t>
  </si>
  <si>
    <t>https://www.goodreads.com/book/show/45038064-the-summer-duke</t>
  </si>
  <si>
    <t>Eirik</t>
  </si>
  <si>
    <t>Joanna Bell</t>
  </si>
  <si>
    <t>Fantasy &amp; Gothic, Paranormal</t>
  </si>
  <si>
    <t>Antihero/Villian/Stockholm Syndrome, Time Travel</t>
  </si>
  <si>
    <t>Mists of Albion #1</t>
  </si>
  <si>
    <t>https://www.goodreads.com/book/show/36600352-eirik</t>
  </si>
  <si>
    <t>Pen Pals</t>
  </si>
  <si>
    <t>JT Geissinger</t>
  </si>
  <si>
    <t>Bondage &amp; Restraints, CNC (Consensual Non Consent), Dirty Talk, Impact play (spanking etc)</t>
  </si>
  <si>
    <t>Nontraditional HEA</t>
  </si>
  <si>
    <t>https://www.goodreads.com/book/show/60192737-pen-pal?ref=nav_sb_ss_1_12</t>
  </si>
  <si>
    <t>Liars Like Us</t>
  </si>
  <si>
    <t>Antihero/Villian/Stockholm Syndrome, BDSM or Kink, Billionaires/Millionaires/Gazillionaires etc, Marriage of Convenience (or arranged marriage)</t>
  </si>
  <si>
    <t>Anal sex, Bondage &amp; Restraints, Dirty Talk, Impact play (spanking etc), Oral sex - cunnilingus, Oral sex - fellatio, Pet Play, PIV sex (penis in vagina), Praise Kink, Sex Toy Play</t>
  </si>
  <si>
    <t>https://www.goodreads.com/en/book/show/77602023</t>
  </si>
  <si>
    <t>Broken Wing</t>
  </si>
  <si>
    <t>Judith James</t>
  </si>
  <si>
    <t>Adventure, Historical Romance</t>
  </si>
  <si>
    <t xml:space="preserve">Angst, Escort/Sex worker/Courtesan, Friends-to-lovers, Hurt/Comfort, Loner/Isolated, Nautical- Sailor/Pirate/Privateer, Wounded Hero/Heroine &amp; War Heroes/Heroines, Napoleanic Era, Hero-centric </t>
  </si>
  <si>
    <t>some violence against the hero ending in homicide, past emotional trauma, past child sex abuse/suicidal ideation/self-harm/cutting</t>
  </si>
  <si>
    <t>https://www.goodreads.com/book/show/4026396-broken-wing</t>
  </si>
  <si>
    <t>Libertine's Kiss</t>
  </si>
  <si>
    <t>Angst, Friends-to-lovers, Rake/Player, Restoration Era</t>
  </si>
  <si>
    <t>Rakes and Rogues of the Restoration #1</t>
  </si>
  <si>
    <t>memories of childhood abuse, alcohol abuse</t>
  </si>
  <si>
    <t>https://www.goodreads.com/book/show/22840237-libertine-s-kiss</t>
  </si>
  <si>
    <t>The Highwayman</t>
  </si>
  <si>
    <t>Class Differences, Loner/Isolated, Mistaken or False Identity, Restoration Era, Road Trip/Travel, Slow Burn</t>
  </si>
  <si>
    <t>Rake and Rogues of the Restoration #3</t>
  </si>
  <si>
    <t>memories of growing up with domestic violence, violence from the villain toward the heroine</t>
  </si>
  <si>
    <t>https://www.goodreads.com/book/show/17947475-the-highwayman</t>
  </si>
  <si>
    <t>Diana of Earth: The Prophesy Book One</t>
  </si>
  <si>
    <t>June Claire</t>
  </si>
  <si>
    <t>Fated Mates, Insta-lust/Insta-love/Insta-coffee, Novella or Short Story</t>
  </si>
  <si>
    <t>Tingle, Dream</t>
  </si>
  <si>
    <t>https://www.goodreads.com/book/show/61862466</t>
  </si>
  <si>
    <t>Dishing Up Love</t>
  </si>
  <si>
    <t>K. D. Robichaux</t>
  </si>
  <si>
    <t>Angst, Celebrities- Rock star/Actor/Model, Foodies- Chef/Baker/Bartender etc, Road Trip/Travel</t>
  </si>
  <si>
    <t>Swoon, Tingle, Laugh, Cry, Feel feels, Transported</t>
  </si>
  <si>
    <t>Infertility</t>
  </si>
  <si>
    <t>https://www.goodreads.com/book/show/53337011-dishing-up-love</t>
  </si>
  <si>
    <t>Den of Vipers</t>
  </si>
  <si>
    <t xml:space="preserve">KA Knight </t>
  </si>
  <si>
    <t>Dark, Erotic Romance, Polyamorous, Romantic Suspense</t>
  </si>
  <si>
    <t>Antihero/Villian/Stockholm Syndrome, Angel &amp; Demon etc, BDSM or Kink, Enemies-to-lovers (or dislike-to-love)</t>
  </si>
  <si>
    <t>Anal sex, Blood Play, Bondage &amp; Restraints, Breath Play (eg.choking), Dirty Talk, Dom/Sub, Humiliation Kink, Knife Play, Oral sex - cunnilingus</t>
  </si>
  <si>
    <t>Swoon, Tingle, Laugh, Dream, Smolder</t>
  </si>
  <si>
    <t>https://www.goodreads.com/book/show/53544752-den-of-vipers</t>
  </si>
  <si>
    <t>The Swedish Prince</t>
  </si>
  <si>
    <t>Karina Halle</t>
  </si>
  <si>
    <t>Class Differences, Royalty</t>
  </si>
  <si>
    <t>Nordic Royals #1</t>
  </si>
  <si>
    <t>Swoon, Laugh, Cry</t>
  </si>
  <si>
    <t>https://www.goodreads.com/book/show/38659522-the-swedish-prince</t>
  </si>
  <si>
    <t>Forget Me Not</t>
  </si>
  <si>
    <t>Karissa Kinword</t>
  </si>
  <si>
    <t>FMC is in her late 20's, MMC in his 30's; MMC has shaggy brown curly hair, heterochromia, is bookish and quiet. FMC has medium length blonde hair, a cautious personality.</t>
  </si>
  <si>
    <t xml:space="preserve">First person omniscient </t>
  </si>
  <si>
    <t>Erotic Romance, Science Fiction &amp; Alien</t>
  </si>
  <si>
    <t>Fated Mates, Forced Proximity, Loner/Isolated, dream lovers</t>
  </si>
  <si>
    <t>futuristic universe, Earth no longer exists</t>
  </si>
  <si>
    <t>Dirty Talk, Oral sex - cunnilingus, Oral sex - fellatio, PIV sex (penis in vagina), Praise Kink, Somnophilia</t>
  </si>
  <si>
    <t>Swoon, Tingle, Laugh, Cry, Feel feels, Dream, Smolder, Learn, Inspired, Transported</t>
  </si>
  <si>
    <t>Gaslighting, drug use, explicit sex, emotional infidelity (according to author's note), graphic violence</t>
  </si>
  <si>
    <t>https://www.goodreads.com/book/show/60884178-forget-me-not?ac=1&amp;from_search=true&amp;qid=hbsjDbrfyR&amp;rank=1</t>
  </si>
  <si>
    <t>Underneath It All</t>
  </si>
  <si>
    <t>Kate Canterbary</t>
  </si>
  <si>
    <t>Coworkers or Colleagues, Insta-lust/Insta-love/Insta-coffee, Opposites Attract, Teacher/Writer/Librarian</t>
  </si>
  <si>
    <t>The Walshes #1</t>
  </si>
  <si>
    <t>Swoon, Tingle, Laugh, Cry, Feel feels, Smolder, Inspired</t>
  </si>
  <si>
    <t>Past domestic abuse</t>
  </si>
  <si>
    <t>https://www.goodreads.com/book/show/23486111-underneath-it-all</t>
  </si>
  <si>
    <t>Fresh Catch</t>
  </si>
  <si>
    <t>Age Difference, Billionaires/Millionaires/Gazillionaires etc, Blue Collar/Farmer/Rancher etc, Class Differences, Forced Proximity, Geek/Nerd/Misfit/Genius, Insta-lust/Insta-love/Insta-coffee, Opposites Attract, Outdoorsy- forest/hiking/camping etc, Road Trip/Travel</t>
  </si>
  <si>
    <t>Talbott's Cove #1</t>
  </si>
  <si>
    <t>Laugh, Smolder, Inspired, Transported</t>
  </si>
  <si>
    <t>https://www.goodreads.com/book/show/35919933-fresh-catch</t>
  </si>
  <si>
    <t>Hard Pressed</t>
  </si>
  <si>
    <t>First Responders- Firefighter/Police etc, Insta-lust/Insta-love/Insta-coffee, Small Town, Sweet MC- beta hero/kindhearted heroine/etc</t>
  </si>
  <si>
    <t>Talbot's Cove #2</t>
  </si>
  <si>
    <t>Swoon, Laugh, Rage, Smolder</t>
  </si>
  <si>
    <t>https://www.goodreads.com/book/show/40311534-hard-pressed</t>
  </si>
  <si>
    <t>Beginner's Luck</t>
  </si>
  <si>
    <t>Kate Clayborn</t>
  </si>
  <si>
    <t>MMC has ADHD</t>
  </si>
  <si>
    <t>Enemies-to-lovers (or dislike-to-love), Geek/Nerd/Misfit/Genius, Small Town</t>
  </si>
  <si>
    <t>Chance of a Lifetime #1</t>
  </si>
  <si>
    <t>Swoon, Tingle, Feel feels, Smolder</t>
  </si>
  <si>
    <t>https://www.goodreads.com/book/show/35717661-beginner-s-luck</t>
  </si>
  <si>
    <t xml:space="preserve">The Orc From the Office </t>
  </si>
  <si>
    <t xml:space="preserve">Kate Prior </t>
  </si>
  <si>
    <t>Fantasy, Paranormal, Romantic Comedy</t>
  </si>
  <si>
    <t>Coworkers or Colleagues, Creatures or Monsters- Dragon/Orc/Fae/etc, Geek/Nerd/Misfit/Genius, Insta-lust/Insta-love/Insta-coffee, Sweet MC- beta hero/kindhearted heroine/etc</t>
  </si>
  <si>
    <t xml:space="preserve">Claws &amp; Cubicles </t>
  </si>
  <si>
    <t>Dub con?</t>
  </si>
  <si>
    <t>https://www.goodreads.com/book/show/61881902-the-orc-from-the-office</t>
  </si>
  <si>
    <t xml:space="preserve">Love, Laugh, Lich </t>
  </si>
  <si>
    <t>Erotic Romance, Fantasy, Paranormal, Romantic Comedy</t>
  </si>
  <si>
    <t>Age Difference, Billionaires/Millionaires/Gazillionaires etc, Class Differences, Coworkers or Colleagues, Creatures or Monsters- Dragon/Orc/Fae/etc, Off Limits (ie; Brother's Best Friend), Pining/Yearning, Sweet MC- beta hero/kindhearted heroine/etc</t>
  </si>
  <si>
    <t>Bondage &amp; Restraints, Dirty Talk, Dom/Sub, PIV sex (penis in vagina)</t>
  </si>
  <si>
    <t xml:space="preserve">Claws and Cubicles </t>
  </si>
  <si>
    <t>https://www.goodreads.com/book/show/59430686-love-laugh-lich</t>
  </si>
  <si>
    <t>Burning Hope</t>
  </si>
  <si>
    <t>Kathryn Ann Kingsley</t>
  </si>
  <si>
    <t>Fantasy &amp; Gothic, Science Fiction &amp; Alien</t>
  </si>
  <si>
    <t>Antihero/Villian/Stockholm Syndrome, Enemies-to-lovers (or dislike-to-love)</t>
  </si>
  <si>
    <t>Cardinal Winds #2</t>
  </si>
  <si>
    <t>childhood sexual assault of MMC</t>
  </si>
  <si>
    <t>https://www.goodreads.com/book/show/54776844-burning-hope</t>
  </si>
  <si>
    <t>Of Visions &amp; Secrets</t>
  </si>
  <si>
    <t>FMC is schizophrenic. LGBTQ rep comes from side characters, more meaningful in later books in the series.</t>
  </si>
  <si>
    <t>Dark, Paranormal, Romantic Suspense</t>
  </si>
  <si>
    <t>Antihero/Villian/Stockholm Syndrome, Angel &amp; Demon etc, BDSM or Kink, Early 20th Century, Grumpy/Sunshine, Spy/Intrigue/Mystery</t>
  </si>
  <si>
    <t>Bondage &amp; Restraints, CNC (Consensual Non Consent), Knife Play</t>
  </si>
  <si>
    <t>Tenebris #1</t>
  </si>
  <si>
    <t>Laugh, Feel feels, Scared, Transported</t>
  </si>
  <si>
    <t>Mental illness, death, gore</t>
  </si>
  <si>
    <t>https://www.goodreads.com/book/show/60727228-of-visions-secrets</t>
  </si>
  <si>
    <t>Doctor D'Arco, Sorcerer of London</t>
  </si>
  <si>
    <t>Kathryn Colvin</t>
  </si>
  <si>
    <t>MMC is a masked, mysterious, infamous professor of dark sorcery. FMC is a 26-year-old vengeful widow who becomes his student and apprentice.</t>
  </si>
  <si>
    <t>Adventure, Dark, Gothic, Historical Romance, Paranormal, Romantic Suspense</t>
  </si>
  <si>
    <t>Age Difference, Forbidden or Taboo, Pining/Yearning, Slow Burn, Spy/Intrigue/Mystery, Teacher/Writer/Librarian, Victorian, Witch/Wizard/Warlock etc, Byronic Hero/Antihero/Shadow Daddy</t>
  </si>
  <si>
    <t>England</t>
  </si>
  <si>
    <t>Oral sex - cunnilingus, PIV sex (penis in vagina), Magic</t>
  </si>
  <si>
    <t>Swoon, Tingle, Laugh, Cry, Feel feels, Dream, Smolder, Transported</t>
  </si>
  <si>
    <t>https://www.goodreads.com/book/show/216296627-doctor-d-arco-sorcerer-of-london</t>
  </si>
  <si>
    <t>A Lady of Rooksgrave Manor</t>
  </si>
  <si>
    <t>Kathryn Moon</t>
  </si>
  <si>
    <t>Erotic Romance, Fantasy &amp; Gothic, Paranormal, Polyamorous</t>
  </si>
  <si>
    <t>Creatures or Monsters- Dragon/Orc/Fae/etc, Escort/Sex worker/Courtesan, Reverse Harem/Why Choose, Vampire, Undead etc, Victorian</t>
  </si>
  <si>
    <t>Tempting Monsters #1</t>
  </si>
  <si>
    <t>Rape (threatened)</t>
  </si>
  <si>
    <t>https://www.goodreads.com/book/show/56574777-a-lady-of-rooksgrave-manor</t>
  </si>
  <si>
    <t>Lola &amp; the Millionaires - Part One</t>
  </si>
  <si>
    <t>Omegaverse</t>
  </si>
  <si>
    <t>A/B/O (alpha/beta/omega), Age Difference, Celebrities- Rock star/Actor/Model, Coworkers or Colleagues, Fated Mates, Friends-to-lovers, Hurt/Comfort, Menage, Reverse Harem/Why Choose, Sweet MC- beta hero/kindhearted heroine/etc</t>
  </si>
  <si>
    <t>Praise Kink</t>
  </si>
  <si>
    <t>Part 1 of 2</t>
  </si>
  <si>
    <t>Swoon, Smolder</t>
  </si>
  <si>
    <t>https://www.goodreads.com/book/show/53418962-lola-the-millionaires</t>
  </si>
  <si>
    <t>Lola &amp; the Millionaires Part Two</t>
  </si>
  <si>
    <t>A/B/O (alpha/beta/omega), BDSM or Kink, Billionaires/Millionaires/Gazillionaires etc, Coworkers or Colleagues, Fated Mates, Hurt/Comfort, Reverse Harem/Why Choose</t>
  </si>
  <si>
    <t>Breeding Kink, Edging/Orgasm Denial, Praise Kink, Sex Toy Play</t>
  </si>
  <si>
    <t>Part Two</t>
  </si>
  <si>
    <t>https://www.goodreads.com/book/show/53418968-lola-the-millionaires</t>
  </si>
  <si>
    <t>The Company of Fiends</t>
  </si>
  <si>
    <t>Age Difference, Art Themed- Music/Dance/Sculpture, BDSM or Kink, Creatures or Monsters- Dragon/Orc/Fae/etc, Early 20th Century, Reverse Harem/Why Choose</t>
  </si>
  <si>
    <t>Bondage, Double Penetration, Edging/Orgasm Denial, Exhibitionism, Impact play (spanking etc), Maledom, Pegging, Pet Play, Praise Kink, Size Kink, Voyeurism</t>
  </si>
  <si>
    <t>Tempting Monsters #2</t>
  </si>
  <si>
    <t>Smolder</t>
  </si>
  <si>
    <t>https://www.goodreads.com/book/show/58756087-the-company-of-fiends</t>
  </si>
  <si>
    <t>Wild Open Hearts</t>
  </si>
  <si>
    <t>Kathryn Nolan</t>
  </si>
  <si>
    <t>Billionaires/Millionaires/Gazillionaires etc, Billionaire FMC</t>
  </si>
  <si>
    <t>https://www.goodreads.com/book/show/51051801-wild-open-hearts</t>
  </si>
  <si>
    <t>Behind The Veil</t>
  </si>
  <si>
    <t>Art Themed- Music/Dance/Sculpture, Coworkers or Colleagues, Fake Relationship, Friends-to-lovers, Geek/Nerd/Misfit/Genius, Spy/Intrigue/Mystery, Teacher/Writer/Librarian</t>
  </si>
  <si>
    <t>Codex #1</t>
  </si>
  <si>
    <t>Swoon, Tingle, Laugh, Smolder, Learn</t>
  </si>
  <si>
    <t>https://www.goodreads.com/book/show/51786773-behind-the-veil</t>
  </si>
  <si>
    <t>Hold Your Breath</t>
  </si>
  <si>
    <t>Katie Ruggle</t>
  </si>
  <si>
    <t>Stoic hero protector and sunny, funny heroine who makes him smile</t>
  </si>
  <si>
    <t>Coworkers or Colleagues, First Responders- Firefighter/Police etc, Grumpy/Sunshine, Opposites Attract, Outdoorsy- forest/hiking/camping etc, Small Town</t>
  </si>
  <si>
    <t>Search and Rescue</t>
  </si>
  <si>
    <t>Tingle, Laugh, Learn, Scared</t>
  </si>
  <si>
    <t xml:space="preserve">Suspense and crime elements such as a dead body, arson, stalking, attempted drowning, gunshots. </t>
  </si>
  <si>
    <t>https://www.goodreads.com/book/show/25880375-hold-your-breath</t>
  </si>
  <si>
    <t>Hurricane Ryan</t>
  </si>
  <si>
    <t>Katya Summers</t>
  </si>
  <si>
    <t>Coworkers or Colleagues</t>
  </si>
  <si>
    <t>Sea Side Cove #1</t>
  </si>
  <si>
    <t>There is cheating, but not by the leads.</t>
  </si>
  <si>
    <t>https://www.goodreads.com/book/show/61405436-hurricane-ryan</t>
  </si>
  <si>
    <t>Endless</t>
  </si>
  <si>
    <t xml:space="preserve">Kaylene Winter </t>
  </si>
  <si>
    <t>Angst, Celebrities- Rock star/Actor/Model, Insta-lust/Insta-love/Insta-coffee, Pining/Yearning, Second Chance, Virgin MC</t>
  </si>
  <si>
    <t>Oral sex - cunnilingus, Oral sex - fellatio, PIV sex (penis in vagina), Shower sex</t>
  </si>
  <si>
    <t>Less Than Zero Book #1</t>
  </si>
  <si>
    <t>Swoon, Tingle, Laugh, Cry, Rage, Feel feels</t>
  </si>
  <si>
    <t>https://www.goodreads.com/en/book/show/58087471</t>
  </si>
  <si>
    <t>A Very Bossy Christmas</t>
  </si>
  <si>
    <t>Kayley Loring</t>
  </si>
  <si>
    <t>Coworkers or Colleagues, Enemies-to-lovers (or dislike-to-love), Fake Relationship, Holidays</t>
  </si>
  <si>
    <t>Very Holiday #1</t>
  </si>
  <si>
    <t>https://www.goodreads.com/book/show/54959891-a-very-bossy-christmas</t>
  </si>
  <si>
    <t>Come Back to Bed</t>
  </si>
  <si>
    <t>Art Themed- Music/Dance/Sculpture, Forced Proximity, Neighbors-to-lovers</t>
  </si>
  <si>
    <t>The Brooklyn Book Boyfriends #2</t>
  </si>
  <si>
    <t>https://www.goodreads.com/book/show/43899242-come-back-to-bed</t>
  </si>
  <si>
    <t>Sleeper</t>
  </si>
  <si>
    <t>Caretaker/Nanny/Governess, Celebrities- Rock star/Actor/Model, Friends-to-lovers, Single Parent</t>
  </si>
  <si>
    <t>Name in Lights #1</t>
  </si>
  <si>
    <t>https://www.goodreads.com/book/show/49207142-sleeper</t>
  </si>
  <si>
    <t>Kidnapped by the Pirate</t>
  </si>
  <si>
    <t>Keira Andrews</t>
  </si>
  <si>
    <t>Adventure, Erotic Romance, Historical Romance</t>
  </si>
  <si>
    <t>Age Difference, Enemies-to-lovers (or dislike-to-love), Forced Proximity, Hurt/Comfort, Relationship Coach-  (ie; Teach me how to kiss), Mature (35 and over), Nautical- Sailor/Pirate/Privateer, Regency, Sweet MC- beta hero/kindhearted heroine/etc, Tattoos &amp; Piercings</t>
  </si>
  <si>
    <t>Swoon, Tingle, Feel feels, Dream</t>
  </si>
  <si>
    <t>https://www.goodreads.com/book/show/36436294-kidnapped-by-the-pirate</t>
  </si>
  <si>
    <t>Honeymoon for One</t>
  </si>
  <si>
    <t>Age Difference, Angst, Hurt/Comfort, Pining/Yearning, Road Trip/Travel, Sweet MC- beta hero/kindhearted heroine/etc</t>
  </si>
  <si>
    <t>Australia &amp; NZ, North America</t>
  </si>
  <si>
    <t>https://www.goodreads.com/book/show/41959108-honeymoon-for-one</t>
  </si>
  <si>
    <t>Reject Me</t>
  </si>
  <si>
    <t>Kel Carpenter &amp; Aurelia Jane</t>
  </si>
  <si>
    <t>Fantasy &amp; Gothic, Military or Security, Paranormal</t>
  </si>
  <si>
    <t>Angst, Creatures or Monsters- Dragon/Orc/Fae/etc, Fake Relationship, Fated Mates, Marriage of Convenience (or arranged marriage), Shifter/Wereperson, Vampire, Undead etc, Wounded Hero/Heroine &amp; War Heroes/Heroines</t>
  </si>
  <si>
    <t>Immortal Vices and Virtues #1</t>
  </si>
  <si>
    <t>Laugh, Cry</t>
  </si>
  <si>
    <t>https://www.goodreads.com/book/show/60586540-reject-me</t>
  </si>
  <si>
    <t>A Rip Through Time</t>
  </si>
  <si>
    <t>Kelley Armstrong</t>
  </si>
  <si>
    <t xml:space="preserve">A modern-day homicide detective time travels to Victorian Scotland in someone else's body to catch a serial killer. Note that book 1 is very light on romance and mostly mystery/suspense. First book in a series. </t>
  </si>
  <si>
    <t>Adventure, Historical Romance, Romantic Suspense</t>
  </si>
  <si>
    <t>Class Differences, Off Limits (ie; Brother's Best Friend), Pining/Yearning, Slow Burn, Time Travel, Victorian</t>
  </si>
  <si>
    <t>A Rip Through Time #1</t>
  </si>
  <si>
    <t>https://www.goodreads.com/book/show/58724944-a-rip-through-time</t>
  </si>
  <si>
    <t>Shifter Wars</t>
  </si>
  <si>
    <t>Kelly St Clare</t>
  </si>
  <si>
    <t>Fantasy, New Adult (NA), Paranormal</t>
  </si>
  <si>
    <t>Age Difference, Enemies-to-lovers (or dislike-to-love), Fated Mates, Forbidden or Taboo, Insta-lust/Insta-love/Insta-coffee, Outdoorsy- forest/hiking/camping etc, Shifter/Wereperson, Slow Burn, Small Town</t>
  </si>
  <si>
    <t>Series- follows one couple</t>
  </si>
  <si>
    <t>Werewolf Dens Trilogy</t>
  </si>
  <si>
    <t>https://www.goodreads.com/book/show/55453297</t>
  </si>
  <si>
    <t>Water Under the Bridge</t>
  </si>
  <si>
    <t>Kels and Denise Stone</t>
  </si>
  <si>
    <t>Perks and Benefits</t>
  </si>
  <si>
    <t>Swoon, Tingle, Laugh, Feel feels, Learn</t>
  </si>
  <si>
    <t>https://www.goodreads.com/en/book/show/61968684</t>
  </si>
  <si>
    <t>Confessions of the Ugly Fat Friend</t>
  </si>
  <si>
    <t>Kelsie Hoss</t>
  </si>
  <si>
    <t>BIPoC (Black, Indigenous, People of Colour), Fat/Plus Size/Body Positive</t>
  </si>
  <si>
    <t>Coworkers or Colleagues, Friends-to-lovers, Pining/Yearning, Slow Burn</t>
  </si>
  <si>
    <t>Swoon, Laugh, Feel feels</t>
  </si>
  <si>
    <t>https://www.goodreads.com/book/show/61091344</t>
  </si>
  <si>
    <t>Block Shot</t>
  </si>
  <si>
    <t>Kennedy Ryan</t>
  </si>
  <si>
    <t>Angst, Enemies-to-lovers (or dislike-to-love), Love Triangle, Second Chance</t>
  </si>
  <si>
    <t>Hoops #2</t>
  </si>
  <si>
    <t>https://www.goodreads.com/book/show/41746595-block-shot</t>
  </si>
  <si>
    <t>The Kingmaker</t>
  </si>
  <si>
    <t>Contemporary, Multicultural/Interracial</t>
  </si>
  <si>
    <t>Age Difference, Billionaires/Millionaires/Gazillionaires etc, Class Differences, Political</t>
  </si>
  <si>
    <t>All The King's Men #1</t>
  </si>
  <si>
    <t>Swoon, Tingle, Cry, Feel feels, Dream, Learn, Inspired</t>
  </si>
  <si>
    <t>https://www.goodreads.com/book/show/45024651-the-kingmaker</t>
  </si>
  <si>
    <t>Master of Salt &amp; Bones</t>
  </si>
  <si>
    <t>Keri Lake</t>
  </si>
  <si>
    <t>Age Difference, Angst, Billionaires/Millionaires/Gazillionaires etc, Class Differences, Enemies-to-lovers (or dislike-to-love), Friends-to-lovers, Small Town</t>
  </si>
  <si>
    <t>https://www.goodreads.com/book/show/50702585-master-of-salt-bones</t>
  </si>
  <si>
    <t>All I Want For Christmas</t>
  </si>
  <si>
    <t>Keris Stanton</t>
  </si>
  <si>
    <t>Insta-lust/Insta-love/Insta-coffee, Novella or Short Story</t>
  </si>
  <si>
    <t>https://www.goodreads.com/book/show/48675635-all-i-want-for-christmas</t>
  </si>
  <si>
    <t>Passion's Liberation</t>
  </si>
  <si>
    <t>Khushi T. Saha</t>
  </si>
  <si>
    <t>FMC is South Asian American, MMC is white American</t>
  </si>
  <si>
    <t>Erotic Romance, Multicultural/Interracial</t>
  </si>
  <si>
    <t>Angst, Insta-lust/Insta-love/Insta-coffee, Second Chance</t>
  </si>
  <si>
    <t>Liberation Series #1</t>
  </si>
  <si>
    <t>Swoon, Tingle, Laugh, Cry, Rage, Feel feels, Smolder, Learn, Inspired</t>
  </si>
  <si>
    <t>Miscarriage</t>
  </si>
  <si>
    <t>https://www.goodreads.com/book/show/60114483-passion-s-liberation</t>
  </si>
  <si>
    <t>Consort of Fire</t>
  </si>
  <si>
    <t>Kit Rocha</t>
  </si>
  <si>
    <t>FFM</t>
  </si>
  <si>
    <t>Ash is a 3000 year old dragon god. Sachielle has been raised to be his consort, but she and her handmaiden/love Zanya are sent to assassinate him</t>
  </si>
  <si>
    <t>Third person, 3 POVs</t>
  </si>
  <si>
    <t>Adventure, Fantasy, Polyamorous</t>
  </si>
  <si>
    <t>Age Difference, Childhood Friends, Creatures or Monsters- Dragon/Orc/Fae/etc, Enemies-to-lovers (or dislike-to-love), Fated Mates, Forced Proximity, Marriage of Convenience (or arranged marriage), Menage, Road Trip/Travel, Shifter/Wereperson, Spy/Intrigue/Mystery</t>
  </si>
  <si>
    <t>Oral sex - cunnilingus, Oral sex - fellatio, PIV sex (penis in vagina), Size Kink</t>
  </si>
  <si>
    <t>Bound to Fire and Steel #1</t>
  </si>
  <si>
    <t>Swoon, Tingle, Rage, Feel feels, Inspired, Transported</t>
  </si>
  <si>
    <t>Violence, Murder, past trauma of both FMCs</t>
  </si>
  <si>
    <t>https://www.goodreads.com/book/show/123521649-consort-of-fire?ref=nav_sb_ss_1_15</t>
  </si>
  <si>
    <t xml:space="preserve">Beyond Shame </t>
  </si>
  <si>
    <t xml:space="preserve">Kit Rocha </t>
  </si>
  <si>
    <t>Erotic Romance</t>
  </si>
  <si>
    <t>BDSM or Kink, Dystopian, Tattoos &amp; Piercings</t>
  </si>
  <si>
    <t>Anal sex, Bondage &amp; Restraints, Dom/Sub, Exhibitionism, Impact play (spanking etc), Oral sex - cunnilingus, Oral sex - fellatio, PIV sex (penis in vagina), Sex Toy Play, Voyeurism</t>
  </si>
  <si>
    <t>Beyond series #1</t>
  </si>
  <si>
    <t>Past Trauma (child abuse, emotional abuse, slut-shaming), Guns, Murder, Misogyny, Heavy Drinking</t>
  </si>
  <si>
    <t>https://www.goodreads.com/book/show/15830843-beyond-shame</t>
  </si>
  <si>
    <t>Letter in the Dark</t>
  </si>
  <si>
    <t>Kit Rose</t>
  </si>
  <si>
    <t>Antihero/Villian/Stockholm Syndrome, Billionaires/Millionaires/Gazillionaires etc, Enemies-to-lovers (or dislike-to-love)</t>
  </si>
  <si>
    <t>Swoon, Tingle, Laugh, Cry, Feel feels, Smolder</t>
  </si>
  <si>
    <t>Child abuse (not graphic), murder</t>
  </si>
  <si>
    <t>https://www.goodreads.com/book/show/54142271-letters-in-the-dark</t>
  </si>
  <si>
    <t>Claimed by the Alien Rogue</t>
  </si>
  <si>
    <t>Krista Luna</t>
  </si>
  <si>
    <t>Grumpy MMC sunshine FMC</t>
  </si>
  <si>
    <t>Creatures or Monsters- Dragon/Orc/Fae/etc, Fated Mates, Forced Proximity, Grumpy/Sunshine, Insta-lust/Insta-love/Insta-coffee, Only One Bed</t>
  </si>
  <si>
    <t>alien planet</t>
  </si>
  <si>
    <t>knotting, tail play</t>
  </si>
  <si>
    <t>Fated Mates of the Zaarn 1</t>
  </si>
  <si>
    <t>Swoon, Tingle, Laugh, Feel feels, Dream, Transported</t>
  </si>
  <si>
    <t>https://www.goodreads.com/book/show/81070436-claimed-by-the-alien-rogue</t>
  </si>
  <si>
    <t>Taken by the Alien Rogue</t>
  </si>
  <si>
    <t>d!rty talking MMC, shy curvy FMC</t>
  </si>
  <si>
    <t>Creatures or Monsters- Dragon/Orc/Fae/etc, Insta-lust/Insta-love/Insta-coffee, Only One Bed</t>
  </si>
  <si>
    <t>Fated Mates of the Zaarn 2</t>
  </si>
  <si>
    <t>https://www.goodreads.com/book/show/122781604-taken-by-the-alien-rogue</t>
  </si>
  <si>
    <t>Wanted by the Alien Rogue</t>
  </si>
  <si>
    <t>himbo MMC, capable FMC</t>
  </si>
  <si>
    <t>Creatures or Monsters- Dragon/Orc/Fae/etc, Fated Mates, Forced Proximity, Only One Bed, Virgin MC</t>
  </si>
  <si>
    <t>Fated Mates of the Zaarn 3</t>
  </si>
  <si>
    <t>https://www.goodreads.com/book/show/125689096-wanted-by-the-alien-rogue</t>
  </si>
  <si>
    <t>Married to the Alien Rogue</t>
  </si>
  <si>
    <t>grumpy MMC, sunshiney FMC</t>
  </si>
  <si>
    <t>Creatures or Monsters- Dragon/Orc/Fae/etc, Fated Mates, Grumpy/Sunshine, Only One Bed</t>
  </si>
  <si>
    <t>Fated Mates of the Zaarn 4</t>
  </si>
  <si>
    <t>Swoon, Tingle, Laugh, Feel feels, Dream, Inspired</t>
  </si>
  <si>
    <t>https://www.goodreads.com/book/show/163548254-married-to-the-alien-rogue</t>
  </si>
  <si>
    <t>Bound to the Orc Warlord</t>
  </si>
  <si>
    <t>orc monster hero</t>
  </si>
  <si>
    <t>Adventure, Fantasy, Romantic Comedy</t>
  </si>
  <si>
    <t>Creatures or Monsters- Dragon/Orc/Fae/etc, Forced Proximity, Grumpy/Sunshine, Marriage of Convenience (or arranged marriage), Only One Bed, Tattoos &amp; Piercings, Witch/Wizard/Warlock etc</t>
  </si>
  <si>
    <t>Faerie</t>
  </si>
  <si>
    <t>Dirty Talk, Oral sex - cunnilingus, Oral sex - fellatio, PIV sex (penis in vagina), monster cock, pierced, knotting, aphrodisiac fluids</t>
  </si>
  <si>
    <t>Brides of the Moon Blade Clan 1</t>
  </si>
  <si>
    <t>Swoon, Tingle, Laugh, Transported</t>
  </si>
  <si>
    <t>Multiple Explicit Intimate Scenes, Size Difference, Copious Aphrodisiac Fluid, Pierced Male Anatomy, Knotting, End of Book Pregnancy, Strong Language, Bladed-Weapons, Fighting Enemies (enemy fatalities)</t>
  </si>
  <si>
    <t>https://www.goodreads.com/book/show/206056327-bound-to-the-orc-warlord</t>
  </si>
  <si>
    <t>In Love and War</t>
  </si>
  <si>
    <t>Kyra Parsi</t>
  </si>
  <si>
    <t>Age Difference, Coworkers or Colleagues, Enemies-to-lovers (or dislike-to-love)</t>
  </si>
  <si>
    <t>https://www.goodreads.com/book/show/55685450-in-love-and-war</t>
  </si>
  <si>
    <t>The Hunter</t>
  </si>
  <si>
    <t>L. J. Shen</t>
  </si>
  <si>
    <t>Billionaires/Millionaires/Gazillionaires etc, Caretaker/Nanny/Governess, Enemies-to-lovers (or dislike-to-love), Ordinary MC- Average looks or career</t>
  </si>
  <si>
    <t>Boston Belles #1</t>
  </si>
  <si>
    <t>https://www.goodreads.com/en/book/show/46038707-the-hunter</t>
  </si>
  <si>
    <t>Vicious</t>
  </si>
  <si>
    <t>Contemporary, Dark</t>
  </si>
  <si>
    <t>Antihero/Villian/Stockholm Syndrome, Angst, Billionaires/Millionaires/Gazillionaires etc, Bully/Reformed Bully, Enemies-to-lovers (or dislike-to-love)</t>
  </si>
  <si>
    <t>Sinners of Saint #1</t>
  </si>
  <si>
    <t>Swoon, Cry, Rage</t>
  </si>
  <si>
    <t>https://www.goodreads.com/book/show/30839185-vicious</t>
  </si>
  <si>
    <t>Budding Romance</t>
  </si>
  <si>
    <t>Lara Kinsey</t>
  </si>
  <si>
    <t>Age Difference, Blue Collar/Farmer/Rancher etc, Forced Proximity, Mature (35 and over), Novella or Short Story, Sweet MC- beta hero/kindhearted heroine/etc, Victorian</t>
  </si>
  <si>
    <t>Nicolette &amp; Dorothea #1</t>
  </si>
  <si>
    <t>Consumption of alcohol, on-page sex</t>
  </si>
  <si>
    <t>https://www.goodreads.com/book/show/53345432-budding-romance</t>
  </si>
  <si>
    <t>Hammer &amp; Tongs</t>
  </si>
  <si>
    <t>MMC is bisexual, FMC crossdresses</t>
  </si>
  <si>
    <t>Blue Collar/Farmer/Rancher etc, Coworkers or Colleagues, Early 20th Century, Insta-lust/Insta-love/Insta-coffee, Mafia/Gang/Criminal, Novella or Short Story, Sweet MC- beta hero/kindhearted heroine/etc</t>
  </si>
  <si>
    <t>Femdom, Pegging</t>
  </si>
  <si>
    <t>Chances Limited #1</t>
  </si>
  <si>
    <t>Swoon, Tingle, Feel feels, Learn</t>
  </si>
  <si>
    <t>Discussion of gender identity, cisgender masculine of center woman presenting as male for part of the book, explicit sexual content, cigarettes, alcohol, discussion of trauma (war), discussion of animal neglect. All animals are fine at the end and no one dies.</t>
  </si>
  <si>
    <t>https://www.goodreads.com/book/show/50695561-hammer-tongs-chances-limited-book-1</t>
  </si>
  <si>
    <t>Trouble &amp; Strife</t>
  </si>
  <si>
    <t>LGBTQIA+ &amp; GSM (Gender and Sexual Minorities), Physical disability or illness, Fat/Plus Size/Body Positive</t>
  </si>
  <si>
    <t>MMC is bisexual, FMC is plus size and has chronic pelvic pain</t>
  </si>
  <si>
    <t>Blue Collar/Farmer/Rancher etc, Early 20th Century, Foodies- Chef/Baker/Bartender etc, Insta-lust/Insta-love/Insta-coffee, Mafia/Gang/Criminal, Mature (35 and over), Novella or Short Story, Opposites Attract, Sweet MC- beta hero/kindhearted heroine/etc</t>
  </si>
  <si>
    <t>Femdom</t>
  </si>
  <si>
    <t>Chances Limited #2</t>
  </si>
  <si>
    <t>Swoon, Feel feels, Inspired</t>
  </si>
  <si>
    <t>Alcohol, recollection of past trauma (war and domestic violence), mention of cocaine, mention of fatphobia from a medical professional, death of a romantic partner many years prior to the start of the story.</t>
  </si>
  <si>
    <t>https://www.goodreads.com/book/show/52316904-trouble-strife</t>
  </si>
  <si>
    <t>Worth The Wait</t>
  </si>
  <si>
    <t>Class Differences, Coworkers or Colleagues, Forced Proximity, Novella or Short Story, Victorian</t>
  </si>
  <si>
    <t>https://www.goodreads.com/book/show/52525171-worth-the-wait</t>
  </si>
  <si>
    <t>Famine</t>
  </si>
  <si>
    <t>Laura Thalassa</t>
  </si>
  <si>
    <t>Adventure, Fantasy &amp; Gothic</t>
  </si>
  <si>
    <t>Antihero/Villian/Stockholm Syndrome, Dystopian, Enemies-to-lovers (or dislike-to-love), Escort/Sex worker/Courtesan, Forced Proximity, Retellings- Fairytale/Folklore/Mythology</t>
  </si>
  <si>
    <t>The Four Horsemen #3</t>
  </si>
  <si>
    <t>Physical abuse, sexual abuse, violence</t>
  </si>
  <si>
    <t>https://www.goodreads.com/book/show/49480530-famine</t>
  </si>
  <si>
    <t>Pestilence</t>
  </si>
  <si>
    <t>Antihero/Villian/Stockholm Syndrome, Dystopian, Enemies-to-lovers (or dislike-to-love), Forced Proximity, Retellings- Fairytale/Folklore/Mythology, Road Trip/Travel</t>
  </si>
  <si>
    <t>The Four Horsemen #1</t>
  </si>
  <si>
    <t>Violence, kidnapping, pandemic, death of child, abuse</t>
  </si>
  <si>
    <t>https://www.goodreads.com/book/show/41831210-pestilence</t>
  </si>
  <si>
    <t>Antihero/Villian/Stockholm Syndrome, Dystopian, Enemies-to-lovers (or dislike-to-love), Forced Proximity, Retellings- Fairytale/Folklore/Mythology</t>
  </si>
  <si>
    <t>The Four Horsemen #2</t>
  </si>
  <si>
    <t>War, violence</t>
  </si>
  <si>
    <t>https://www.goodreads.com/book/show/49390139-war</t>
  </si>
  <si>
    <t>Throttled</t>
  </si>
  <si>
    <t>Lauren Asher</t>
  </si>
  <si>
    <t>Age Difference, Off Limits (ie; Brother's Best Friend), Road Trip/Travel</t>
  </si>
  <si>
    <t>Dirty Air #1</t>
  </si>
  <si>
    <t>Abuse from parent</t>
  </si>
  <si>
    <t>https://www.goodreads.com/book/show/53058846-throttled</t>
  </si>
  <si>
    <t>The Fine Print</t>
  </si>
  <si>
    <t>Billionaire from Disney-like family and fairytale loving park worker</t>
  </si>
  <si>
    <t>Romantic Comedy</t>
  </si>
  <si>
    <t>Age Difference, Billionaires/Millionaires/Gazillionaires etc, Class Differences, Coworkers or Colleagues, Enemies-to-lovers (or dislike-to-love), Grumpy/Sunshine, Mistaken or False Identity, Ordinary MC- Average looks or career</t>
  </si>
  <si>
    <t>Dreamland Billionaires #1</t>
  </si>
  <si>
    <t xml:space="preserve">References to physical abuse and substance abuse </t>
  </si>
  <si>
    <t>https://www.goodreads.com/book/show/77267196</t>
  </si>
  <si>
    <t xml:space="preserve">Terms and Conditions </t>
  </si>
  <si>
    <t>BIPoC (Black, Indigenous, People of Colour), Neurodivergent (Autism, ADHD, dyspraxia, dyslexia, etc)</t>
  </si>
  <si>
    <t xml:space="preserve">Billionaire from Disney-like family and his personal assistant </t>
  </si>
  <si>
    <t>Black Love/Black Romance, Multicultural/Interracial, Romantic Comedy</t>
  </si>
  <si>
    <t>Age Difference, Billionaires/Millionaires/Gazillionaires etc, Class Differences, Coworkers or Colleagues, Fake Relationship, Grumpy/Sunshine, Marriage of Convenience (or arranged marriage), Opposites Attract</t>
  </si>
  <si>
    <t>Dreamland Billionaires #2</t>
  </si>
  <si>
    <t>References to physical abuse and substance abuse</t>
  </si>
  <si>
    <t>https://www.goodreads.com/book/show/86767939</t>
  </si>
  <si>
    <t>Huge Deal</t>
  </si>
  <si>
    <t>Lauren Layne</t>
  </si>
  <si>
    <t>Billionaires/Millionaires/Gazillionaires etc, Coworkers or Colleagues</t>
  </si>
  <si>
    <t>21 Wall Street #3</t>
  </si>
  <si>
    <t>https://www.goodreads.com/en/book/show/32841117-huge-deal</t>
  </si>
  <si>
    <t>Ball Peen Hammer</t>
  </si>
  <si>
    <t>Lauren Rowe</t>
  </si>
  <si>
    <t>Contemporary, New Adult (NA), Romantic Comedy</t>
  </si>
  <si>
    <t>Escort/Sex worker/Courtesan, Forced Proximity, Friends-to-lovers, Opposites Attract, Road Trip/Travel</t>
  </si>
  <si>
    <t>The Morgan Brother #3</t>
  </si>
  <si>
    <t>stripper MC, dead former lover</t>
  </si>
  <si>
    <t>https://www.goodreads.com/book/show/30200464-ball-peen-hammer</t>
  </si>
  <si>
    <t>Guarded By The Snake</t>
  </si>
  <si>
    <t>Layla Fae</t>
  </si>
  <si>
    <t>Kim is a thief on the run; her bodyguard Asan is a dirty talking snake-like creature</t>
  </si>
  <si>
    <t>Bodyguards &amp; Security, Creatures or Monsters- Dragon/Orc/Fae/etc, Forbidden or Taboo, Forced Proximity, Only One Bed</t>
  </si>
  <si>
    <t>Cock pocket, Dirty Talk, Double Penetration, Oral sex - cunnilingus, Oral sex - fellatio, Praise Kink, Size Kink</t>
  </si>
  <si>
    <t>Monster Security Agency #2</t>
  </si>
  <si>
    <t>https://www.goodreads.com/book/show/202289210-guarded-by-the-snake</t>
  </si>
  <si>
    <t>Guarded By The Phantom</t>
  </si>
  <si>
    <t>Bodyguards &amp; Security, Class Differences, Creatures or Monsters- Dragon/Orc/Fae/etc, Opposites Attract, Slow Burn</t>
  </si>
  <si>
    <t>Dirty Talk, Oral sex - cunnilingus, Oral sex - fellatio, PIV sex (penis in vagina)</t>
  </si>
  <si>
    <t>Monster Security Agency #7</t>
  </si>
  <si>
    <t>https://www.goodreads.com/book/show/213860478-guarded-by-the-phantom</t>
  </si>
  <si>
    <t>Shared Hearts</t>
  </si>
  <si>
    <t>Leigh Jack</t>
  </si>
  <si>
    <t xml:space="preserve">The FMC is a type one diabetic. </t>
  </si>
  <si>
    <t>Adventure, Contemporary, Romantic Suspense</t>
  </si>
  <si>
    <t>Childhood Friends, Fake Relationship, Friends-to-lovers, Spy/Intrigue/Mystery, Sweet MC- beta hero/kindhearted heroine/etc, Teacher/Writer/Librarian</t>
  </si>
  <si>
    <t>Hearts Series book 1</t>
  </si>
  <si>
    <t>Swoon, Tingle, Rage, Feel feels, Smolder, Learn, Scared, Inspired</t>
  </si>
  <si>
    <t>stalking</t>
  </si>
  <si>
    <t>https://www.goodreads.com/book/show/221108786-shared-hearts?from_search=true&amp;from_srp=true&amp;qid=Cc3hmxeDjM&amp;rank=1</t>
  </si>
  <si>
    <t>Mister Romance</t>
  </si>
  <si>
    <t>Leisa Rayven</t>
  </si>
  <si>
    <t>Celebrities- Rock star/Actor/Model, Forced Proximity, Loner/Isolated, Opposites Attract, Single Parent</t>
  </si>
  <si>
    <t>Masters of Love #1</t>
  </si>
  <si>
    <t>Past loss of pregnancy, drunk driving</t>
  </si>
  <si>
    <t>https://www.goodreads.com/book/show/34452618-mister-romance</t>
  </si>
  <si>
    <t>A Cowboy in Essex</t>
  </si>
  <si>
    <t>Lesley Jones</t>
  </si>
  <si>
    <t>https://www.goodreads.com/book/show/50489397-a-cowboy-in-essex</t>
  </si>
  <si>
    <t>Meet Me Halfway</t>
  </si>
  <si>
    <t>Lilian T. James</t>
  </si>
  <si>
    <t>Age Difference, Enemies-to-lovers (or dislike-to-love), Neighbors-to-lovers, Single Parent, Slow Burn</t>
  </si>
  <si>
    <t>Abuse from ex (mentioned, and in one scene, not overly graphic)</t>
  </si>
  <si>
    <t>https://www.goodreads.com/book/show/61199573-meet-me-halfway</t>
  </si>
  <si>
    <t>Deceived by the Gargoyles</t>
  </si>
  <si>
    <t>Lillian Lark</t>
  </si>
  <si>
    <t>Creatures or Monsters- Dragon/Orc/Fae/etc, Fated Mates, Reverse Harem/Why Choose, Witch/Wizard/Warlock etc</t>
  </si>
  <si>
    <t>Breeding Kink, Double Penetration, Praise Kink, Size Kink</t>
  </si>
  <si>
    <t>Monstrous Matches 2</t>
  </si>
  <si>
    <t>https://www.goodreads.com/book/show/59116203-deceived-by-the-gargoyles</t>
  </si>
  <si>
    <t>Three of Hearts</t>
  </si>
  <si>
    <t>Fated Mates, Menage, Shifter/Wereperson</t>
  </si>
  <si>
    <t>Breeding Kink, Double Penetration, Praise Kink</t>
  </si>
  <si>
    <t>Harpies of a Feather #1</t>
  </si>
  <si>
    <t>https://www.goodreads.com/book/show/55532233-three-of-hearts</t>
  </si>
  <si>
    <t>Soul Eater</t>
  </si>
  <si>
    <t>Lily Mayne</t>
  </si>
  <si>
    <t>A touch starved grumpy monster and the sweetest beta boy!</t>
  </si>
  <si>
    <t>Erotic Romance, Fantasy, Military or Security, Science Fiction &amp; Alien</t>
  </si>
  <si>
    <t>Age Difference, Creatures or Monsters- Dragon/Orc/Fae/etc, Dystopian, Enemies-to-lovers (or dislike-to-love), Grumpy/Sunshine, Hurt/Comfort, Road Trip/Travel, Sweet MC- beta hero/kindhearted heroine/etc, Virgin MC</t>
  </si>
  <si>
    <t xml:space="preserve">Oral sex - fellatio, Weird monster anatomy </t>
  </si>
  <si>
    <t>Monstrous #1</t>
  </si>
  <si>
    <t xml:space="preserve">PTSD, violence, torture, lots of fluids </t>
  </si>
  <si>
    <t>https://www.goodreads.com/book/show/58114709</t>
  </si>
  <si>
    <t xml:space="preserve">Berries and Greed </t>
  </si>
  <si>
    <t xml:space="preserve">Lily Mayne </t>
  </si>
  <si>
    <t>Creatures or Monsters- Dragon/Orc/Fae/etc, Forced Proximity, Friends-to-lovers, Loner/Isolated, Sweet MC- beta hero/kindhearted heroine/etc</t>
  </si>
  <si>
    <t>Anal sex, Bondage &amp; Restraints, Edging/Orgasm Denial, Femdom, Oral sex - cunnilingus, Oral sex - fellatio, Pegging, Praise Kink, Sex Toy Play</t>
  </si>
  <si>
    <t xml:space="preserve">Deep Earth Dating </t>
  </si>
  <si>
    <t>https://www.goodreads.com/book/show/175404367-berries-and-greed</t>
  </si>
  <si>
    <t>Oz</t>
  </si>
  <si>
    <t>Lily Morton</t>
  </si>
  <si>
    <t xml:space="preserve">Sunshine/sunshine with a very dry sarcastic humor. MC1 is a small town vet but also part of the aristocracy. MC2 is hired to help manage his estate. </t>
  </si>
  <si>
    <t>Age Difference, Billionaires/Millionaires/Gazillionaires etc, Class Differences, Coworkers or Colleagues, Forced Proximity, Friends-to-lovers, Small Town</t>
  </si>
  <si>
    <t>Anal sex, Cum Fetish, Oral sex - fellatio</t>
  </si>
  <si>
    <t>Finding Home 1</t>
  </si>
  <si>
    <t>https://www.goodreads.com/book/show/42840413</t>
  </si>
  <si>
    <t>The Assassin and the Libertine</t>
  </si>
  <si>
    <t>Lily Riley</t>
  </si>
  <si>
    <t>Historical Romance, Paranormal, Romantic Suspense</t>
  </si>
  <si>
    <t>Angel &amp; Demon etc, Enemies-to-lovers (or dislike-to-love), Hurt/Comfort, Rake/Player, Spy/Intrigue/Mystery, Vampire, Undead etc</t>
  </si>
  <si>
    <t>Les Dames Dangereuses book #1</t>
  </si>
  <si>
    <t>Laugh, Scared, Transported</t>
  </si>
  <si>
    <t>Abuse</t>
  </si>
  <si>
    <t>https://www.goodreads.com/book/show/58722474-the-assassin-and-the-libertine?ac=1&amp;from_search=true&amp;qid=HPHLwMQmvL&amp;rank=1</t>
  </si>
  <si>
    <t>The Agent and the Outlaw</t>
  </si>
  <si>
    <t>Enemies-to-lovers (or dislike-to-love), Forced Proximity, Grumpy/Sunshine, Hurt/Comfort, Road Trip/Travel, Shifter/Wereperson, Vampire, Undead etc</t>
  </si>
  <si>
    <t>Les Dames Dangereuses book #2</t>
  </si>
  <si>
    <t>Laugh, Transported</t>
  </si>
  <si>
    <t>abuse, suicide</t>
  </si>
  <si>
    <t>https://www.goodreads.com/book/show/61068802-the-agent-and-the-outlaw?ac=1&amp;from_search=true&amp;qid=hS6gPI0U4p&amp;rank=1</t>
  </si>
  <si>
    <t>Sinister Magic</t>
  </si>
  <si>
    <t>Lindsay Buroker</t>
  </si>
  <si>
    <t>Contemporary, Fantasy &amp; Gothic, Paranormal</t>
  </si>
  <si>
    <t>Creatures or Monsters- Dragon/Orc/Fae/etc, Enemies-to-lovers (or dislike-to-love), Slow Burn</t>
  </si>
  <si>
    <t>Death Before Dragons #1</t>
  </si>
  <si>
    <t>Swoon, Laugh, Feel feels, Dream, Transported</t>
  </si>
  <si>
    <t>https://www.goodreads.com/book/show/51474324-sinister-magic</t>
  </si>
  <si>
    <t>The RIchmond Thief</t>
  </si>
  <si>
    <t>Lisa Boero</t>
  </si>
  <si>
    <t>Regency, Spy/Intrigue/Mystery</t>
  </si>
  <si>
    <t>https://www.goodreads.com/book/show/36228345-the-richmond-thief</t>
  </si>
  <si>
    <t>Mine Till Midnight</t>
  </si>
  <si>
    <t>Lisa Kleypas</t>
  </si>
  <si>
    <t>Roma MMC</t>
  </si>
  <si>
    <t>Angst, Class Differences, Tattoos &amp; Piercings, Victorian</t>
  </si>
  <si>
    <t>Hathaways #1</t>
  </si>
  <si>
    <t>Suicidal thoughts (side character), alcoholism, racism toward MMC from others</t>
  </si>
  <si>
    <t>https://www.goodreads.com/book/show/693016.Mine_Till_Midnight</t>
  </si>
  <si>
    <t>Court of Blood and Bindings</t>
  </si>
  <si>
    <t>Lisette Marshall</t>
  </si>
  <si>
    <t>First book of the Fae Isles series, an enemies to lovers fantasy romance featuring a strong-willed heroine and a broody, morally grey hero.</t>
  </si>
  <si>
    <t>Adventure, Fantasy, New Adult (NA), Paranormal</t>
  </si>
  <si>
    <t>Creatures or Monsters- Dragon/Orc/Fae/etc, Enemies-to-lovers (or dislike-to-love), Fake Relationship, Forced Proximity, Only One Bed, Royalty</t>
  </si>
  <si>
    <t>PIV sex (penis in vagina)</t>
  </si>
  <si>
    <t>Fae Isles #1</t>
  </si>
  <si>
    <t>Tingle, Feel feels, Smolder, Transported</t>
  </si>
  <si>
    <t>Some mentions of war, death, and violence, including the death of children.</t>
  </si>
  <si>
    <t>https://www.goodreads.com/book/show/61213995-court-of-blood-and-bindings</t>
  </si>
  <si>
    <t>Eden</t>
  </si>
  <si>
    <t>Louise Wise</t>
  </si>
  <si>
    <t>Jenny (human) shows how modern living has affected her living in prehistoric times after she's abandoned on an alien planet. Lone survivor of his crash ship, Fly (alien) sees her as a sexual diversion but knows he'll gain more if he earns her trust. A true love story. A little heat.</t>
  </si>
  <si>
    <t>Adventure, Contemporary, Omegaverse, Science Fiction &amp; Alien, Young Adult (YA)</t>
  </si>
  <si>
    <t>Class Differences, Creatures or Monsters- Dragon/Orc/Fae/etc, Enemies-to-lovers (or dislike-to-love), Fated Mates, Friends-to-lovers, Wounded Hero/Heroine &amp; War Heroes/Heroines</t>
  </si>
  <si>
    <t>outside earth</t>
  </si>
  <si>
    <t>Hunted</t>
  </si>
  <si>
    <t>Swoon, Tingle, Laugh, Cry, Rage, Scared, Transported</t>
  </si>
  <si>
    <t>https://www.amazon.com/gp/product/B0052DN2YG</t>
  </si>
  <si>
    <t>Virgin Flyer</t>
  </si>
  <si>
    <t>Lucy Lennox</t>
  </si>
  <si>
    <t>Age Difference, Insta-lust/Insta-love/Insta-coffee, Sweet MC- beta hero/kindhearted heroine/etc</t>
  </si>
  <si>
    <t>Tingle, Laugh, Dream</t>
  </si>
  <si>
    <t>https://www.goodreads.com/book/show/51578713-virgin-flyer</t>
  </si>
  <si>
    <t>By A Thread</t>
  </si>
  <si>
    <t>Lucy Score</t>
  </si>
  <si>
    <t>Class Differences, Coworkers or Colleagues, Enemies-to-lovers (or dislike-to-love), Forced Proximity, Mature (35 and over), Opposites Attract</t>
  </si>
  <si>
    <t>Laugh, Rage</t>
  </si>
  <si>
    <t>https://www.goodreads.com/book/show/48677178-by-a-thread</t>
  </si>
  <si>
    <t>Protecting What's Mine</t>
  </si>
  <si>
    <t>First Responders- Firefighter/Police etc, Medical- Doctor/Nurse/Vet etc, Neighbors-to-lovers, Small Town</t>
  </si>
  <si>
    <t>Benevolence #3</t>
  </si>
  <si>
    <t>Swoon, Laugh, Inspired</t>
  </si>
  <si>
    <t>https://www.goodreads.com/book/show/50350996-protecting-what-s-mine</t>
  </si>
  <si>
    <t xml:space="preserve">Riley Thorn and the Dead Guy Next Door </t>
  </si>
  <si>
    <t>Contemporary, Paranormal, Romantic Comedy</t>
  </si>
  <si>
    <t>Slow Burn, Spy/Intrigue/Mystery, Psychic</t>
  </si>
  <si>
    <t>Riley Thorn #1</t>
  </si>
  <si>
    <t>https://www.goodreads.com/book/show/55029958-riley-thorn-and-the-dead-guy-next-door</t>
  </si>
  <si>
    <t>Rock Bottom Girl</t>
  </si>
  <si>
    <t>Coworkers or Colleagues, Enemies-to-lovers (or dislike-to-love), Fake Relationship, Mature (35 and over)</t>
  </si>
  <si>
    <t>https://www.goodreads.com/book/show/44178049-rock-bottom-girl</t>
  </si>
  <si>
    <t>The Price of Scandal</t>
  </si>
  <si>
    <t>Billionaires/Millionaires/Gazillionaires etc, Class Differences, Coworkers or Colleagues</t>
  </si>
  <si>
    <t>https://www.goodreads.com/book/show/51079724-the-price-of-scandal</t>
  </si>
  <si>
    <t>Whiskey Chaser</t>
  </si>
  <si>
    <t>Lucy Score &amp; Claire Kingsley</t>
  </si>
  <si>
    <t>Age Difference, Blue Collar/Farmer/Rancher etc, Class Differences, Forced Proximity, Neighbors-to-lovers, Opposites Attract</t>
  </si>
  <si>
    <t>Bootleg Springs #1</t>
  </si>
  <si>
    <t>Swoon, Laugh, Rage, Smolder, Transported</t>
  </si>
  <si>
    <t>https://www.goodreads.com/book/show/39693841-whiskey-chaser</t>
  </si>
  <si>
    <t>Thief of Cahraman</t>
  </si>
  <si>
    <t>Lucy Tempest</t>
  </si>
  <si>
    <t>Fantasy, Young Adult (YA)</t>
  </si>
  <si>
    <t>Class Differences, Creatures or Monsters- Dragon/Orc/Fae/etc, Grumpy/Sunshine, Lawful/Chaotic, Loner/Isolated, Mistaken or False Identity, Retellings- Fairytale/Folklore/Mythology, Royalty, Witch/Wizard/Warlock etc</t>
  </si>
  <si>
    <t>Fantasy world based on the middle east/asia</t>
  </si>
  <si>
    <t>Fairytales of Folkshore #1</t>
  </si>
  <si>
    <t>Laugh, Feel feels, Dream</t>
  </si>
  <si>
    <t>Blood, violence, death of a parent (mentioned)</t>
  </si>
  <si>
    <t>https://www.goodreads.com/book/show/40933577-thief-of-cahraman</t>
  </si>
  <si>
    <t xml:space="preserve">Prince of Cahraman </t>
  </si>
  <si>
    <t xml:space="preserve">Lucy Tempest </t>
  </si>
  <si>
    <t>Forced Proximity, Grumpy/Sunshine, Mistaken or False Identity, Retellings- Fairytale/Folklore/Mythology, Royalty, Sweet MC- beta hero/kindhearted heroine/etc</t>
  </si>
  <si>
    <t>Fairytales of Folkshore #2</t>
  </si>
  <si>
    <t>Threats, jnjury/injury detail, violence, blood, near death experience, death of parent (mentioned)</t>
  </si>
  <si>
    <t>https://www.goodreads.com/book/show/41059130-prince-of-cahraman</t>
  </si>
  <si>
    <t xml:space="preserve">Queen of Cahraman </t>
  </si>
  <si>
    <t>Class Differences, Creatures or Monsters- Dragon/Orc/Fae/etc, Retellings- Fairytale/Folklore/Mythology, Royalty, Sweet MC- beta hero/kindhearted heroine/etc, Witch/Wizard/Warlock etc</t>
  </si>
  <si>
    <t>Fairytales of Folkshore #3</t>
  </si>
  <si>
    <t>Blood, injury/injury detail, fire/fire injury, violence, near death experience, death of parent (mentioned), war/battle, confinement</t>
  </si>
  <si>
    <t>https://www.goodreads.com/book/show/42651348-queen-of-cahraman</t>
  </si>
  <si>
    <t xml:space="preserve">One Indulgence </t>
  </si>
  <si>
    <t>Lydia Gastrell</t>
  </si>
  <si>
    <t>One Night Stand, Pining/Yearning, Regency, Virgin MC</t>
  </si>
  <si>
    <t>Indulgence duology</t>
  </si>
  <si>
    <t>Tingle, Feel feels, Smolder</t>
  </si>
  <si>
    <t>https://www.goodreads.com/book/show/22922028-one-indulgence</t>
  </si>
  <si>
    <t>One Glimpse</t>
  </si>
  <si>
    <t>Friends-to-lovers, Pining/Yearning, Regency, Slow Burn</t>
  </si>
  <si>
    <t>https://www.goodreads.com/en/book/show/26131924</t>
  </si>
  <si>
    <t>Homebound</t>
  </si>
  <si>
    <t>Lydia Hope</t>
  </si>
  <si>
    <t>Angst, Creatures or Monsters- Dragon/Orc/Fae/etc, Dystopian, Forbidden or Taboo, Hurt/Comfort</t>
  </si>
  <si>
    <t>Swoon, Cry</t>
  </si>
  <si>
    <t>Attempted rape, violence</t>
  </si>
  <si>
    <t>https://www.goodreads.com/book/show/50337348-homebound</t>
  </si>
  <si>
    <t>The Do-Over</t>
  </si>
  <si>
    <t>M. K. Schiller</t>
  </si>
  <si>
    <t>Enemies-to-lovers (or dislike-to-love), Fake Relationship, Relationship Coach-  (ie; Teach me how to kiss)</t>
  </si>
  <si>
    <t>https://www.goodreads.com/book/show/18660750-the-do-over</t>
  </si>
  <si>
    <t>Sunshine and Rain</t>
  </si>
  <si>
    <t>M. Mabie</t>
  </si>
  <si>
    <t>Age Difference, Blue Collar/Farmer/Rancher etc, Geek/Nerd/Misfit/Genius, Small Town, Sweet MC- beta hero/kindhearted heroine/etc</t>
  </si>
  <si>
    <t>City Limits #2</t>
  </si>
  <si>
    <t>Feel feels, Dream</t>
  </si>
  <si>
    <t>https://www.goodreads.com/book/show/42110750-sunshine-and-rain</t>
  </si>
  <si>
    <t>One Christmas Star</t>
  </si>
  <si>
    <t>Mandy Baggot</t>
  </si>
  <si>
    <t>Ordinary MC- Average looks or career, Romance Adjacent, Sweet MC- beta hero/kindhearted heroine/etc, Teacher/Writer/Librarian</t>
  </si>
  <si>
    <t>Swoon, Laugh, Feel feels, Dream</t>
  </si>
  <si>
    <t>Emotional abuse (in ex-relationship)</t>
  </si>
  <si>
    <t>https://www.goodreads.com/en/book/show/44105905</t>
  </si>
  <si>
    <t>From Lukov With Love</t>
  </si>
  <si>
    <t>Mariana Zapata</t>
  </si>
  <si>
    <t>Coworkers or Colleagues, Enemies-to-lovers (or dislike-to-love), Forced Proximity, Slow Burn</t>
  </si>
  <si>
    <t>Previous stalking incidents</t>
  </si>
  <si>
    <t>https://www.goodreads.com/book/show/37683751-from-lukov-with-love</t>
  </si>
  <si>
    <t>Luna and the Lie</t>
  </si>
  <si>
    <t>Age Difference, Blue Collar/Farmer/Rancher etc, Coworkers or Colleagues, Friends-to-lovers, Slow Burn, Sweet MC- beta hero/kindhearted heroine/etc, Tattoos &amp; Piercings</t>
  </si>
  <si>
    <t>https://www.goodreads.com/book/show/42883009-luna-and-the-lie</t>
  </si>
  <si>
    <t>The Wall of Winnipeg and Me</t>
  </si>
  <si>
    <t>Enemies-to-lovers (or dislike-to-love), Fake Relationship, Forced Proximity, Marriage of Convenience (or arranged marriage)</t>
  </si>
  <si>
    <t>https://www.goodreads.com/book/show/29367958-the-wall-of-winnipeg-and-me</t>
  </si>
  <si>
    <t>Wait For It</t>
  </si>
  <si>
    <t>Age Difference, Caretaker/Nanny/Governess, Enemies-to-lovers (or dislike-to-love), Hurt/Comfort, Neighbors-to-lovers, Ordinary MC- Average looks or career, Single Parent, Slow Burn</t>
  </si>
  <si>
    <t>Previous physical abuse, death of sibling, suicide/overdose</t>
  </si>
  <si>
    <t>https://www.goodreads.com/book/show/33288638-wait-for-it</t>
  </si>
  <si>
    <t>Sex Says</t>
  </si>
  <si>
    <t>Max Monroe</t>
  </si>
  <si>
    <t>Enemies-to-lovers (or dislike-to-love), Geek/Nerd/Misfit/Genius, Slow Burn</t>
  </si>
  <si>
    <t>Swoon, Laugh, Smolder</t>
  </si>
  <si>
    <t>https://www.goodreads.com/book/show/33397807-sex-says</t>
  </si>
  <si>
    <t>Frenched</t>
  </si>
  <si>
    <t>Melanie Harlow</t>
  </si>
  <si>
    <t>Hurt/Comfort, Opposites Attract</t>
  </si>
  <si>
    <t>Frenched #1</t>
  </si>
  <si>
    <t>https://www.goodreads.com/book/show/21474459-frenched</t>
  </si>
  <si>
    <t>Bentley</t>
  </si>
  <si>
    <t>Melanie Moreland</t>
  </si>
  <si>
    <t>Billionaires/Millionaires/Gazillionaires etc, Class Differences, Insta-lust/Insta-love/Insta-coffee</t>
  </si>
  <si>
    <t>Vested Interest #1</t>
  </si>
  <si>
    <t>Tingle, Smolder, Scared</t>
  </si>
  <si>
    <t>Kidnapping, Male mc has sad past.</t>
  </si>
  <si>
    <t>https://www.goodreads.com/book/show/36889238-bentley</t>
  </si>
  <si>
    <t>Over The Fence</t>
  </si>
  <si>
    <t>Geek/Nerd/Misfit/Genius, Loner/Isolated, Neighbors-to-lovers, Slow Burn</t>
  </si>
  <si>
    <t>Swoon, Laugh, Feel feels, Inspired</t>
  </si>
  <si>
    <t xml:space="preserve">Fat shaming, bad family situation, </t>
  </si>
  <si>
    <t>https://www.goodreads.com/book/show/44036410-over-the-fence</t>
  </si>
  <si>
    <t xml:space="preserve">The Pact - The Preacher’s Daughter </t>
  </si>
  <si>
    <t xml:space="preserve">Melissa Adams </t>
  </si>
  <si>
    <t>FMMMM</t>
  </si>
  <si>
    <t>Religious Minorities</t>
  </si>
  <si>
    <t>Contemporary, Dark, Romantic Suspense</t>
  </si>
  <si>
    <t xml:space="preserve">Escape from cult </t>
  </si>
  <si>
    <t>Anal sex, Oral sex - cunnilingus, Oral sex - fellatio, PIV sex (penis in vagina)</t>
  </si>
  <si>
    <t xml:space="preserve">Book #2 is Twisted Sinners The Preacher’s Wife </t>
  </si>
  <si>
    <t xml:space="preserve">Super Crazy Religious Trauma - Standing up to the patriarchy. </t>
  </si>
  <si>
    <t>https://www.goodreads.com/book/show/56794221</t>
  </si>
  <si>
    <t>Savaged</t>
  </si>
  <si>
    <t>Mia Sheridan</t>
  </si>
  <si>
    <t>Class Differences, Loner/Isolated, Outdoorsy- forest/hiking/camping etc</t>
  </si>
  <si>
    <t>abuse and imprisonment of children</t>
  </si>
  <si>
    <t>https://www.goodreads.com/book/show/45714792-savaged</t>
  </si>
  <si>
    <t>The Wish Collector</t>
  </si>
  <si>
    <t>Angst, Athlete</t>
  </si>
  <si>
    <t>https://www.goodreads.com/book/show/42606944-the-wish-collector</t>
  </si>
  <si>
    <t>The Boyfriend Tune-Up</t>
  </si>
  <si>
    <t>Michele Gorman</t>
  </si>
  <si>
    <t>Romance Adjacent, Slow Burn</t>
  </si>
  <si>
    <t>https://www.goodreads.com/book/show/48705791-the-boyfriend-tune-up</t>
  </si>
  <si>
    <t>Dark Horse</t>
  </si>
  <si>
    <t>Michelle Diener</t>
  </si>
  <si>
    <t>Contemporary, Erotic Romance, Military or Security, Multicultural/Interracial, Science Fiction &amp; Alien</t>
  </si>
  <si>
    <t>Hurt/Comfort, Ordinary MC- Average looks or career, Political, Spy/Intrigue/Mystery</t>
  </si>
  <si>
    <t>Class 5 #1</t>
  </si>
  <si>
    <t>Swoon, Tingle, Feel feels, Dream, Smolder, Inspired, Transported</t>
  </si>
  <si>
    <t>https://www.goodreads.com/book/show/25615831-dark-horse</t>
  </si>
  <si>
    <t xml:space="preserve">Snowed In With Benefits </t>
  </si>
  <si>
    <t>Misha Horne</t>
  </si>
  <si>
    <t>LGBTQIA+ &amp; GSM (Gender and Sexual Minorities), Kinky</t>
  </si>
  <si>
    <t>BDSM or Kink, Celebrities- Rock star/Actor/Model, Enemies-to-lovers (or dislike-to-love), Forced Proximity, Holidays, Hurt/Comfort, Loner/Isolated, Opposites Attract, Pining/Yearning, Slow Burn</t>
  </si>
  <si>
    <t>Anal sex, Dirty Talk, Impact play (spanking etc), Oral sex - fellatio</t>
  </si>
  <si>
    <t>Swoon, Tingle, Laugh, Cry, Rage, Feel feels, Dream, Smolder, Inspired, Transported</t>
  </si>
  <si>
    <t>https://www.goodreads.com/book/show/60638222-snowed-in-with-benefits</t>
  </si>
  <si>
    <t>Tis The Season For Revenge</t>
  </si>
  <si>
    <t>Morgan Elizabeth</t>
  </si>
  <si>
    <t>Age Difference, Class Differences, Holidays, Mature (35 and over), Revenge plot</t>
  </si>
  <si>
    <t>Dirty Talk, Edging/Orgasm Denial, Oral sex - cunnilingus, Oral sex - fellatio, Praise Kink</t>
  </si>
  <si>
    <t>https://www.goodreads.com/book/show/61195387-tis-the-season-for-revenge</t>
  </si>
  <si>
    <t>Rescue</t>
  </si>
  <si>
    <t>Mx. Alex</t>
  </si>
  <si>
    <t>LGBTQIA+ &amp; GSM (Gender and Sexual Minorities), Physical disability or illness, Mental disability or illness</t>
  </si>
  <si>
    <t>Erotic Romance, Paranormal, Science Fiction &amp; Alien</t>
  </si>
  <si>
    <t>Age Difference, Enemies-to-lovers (or dislike-to-love), Hurt/Comfort, Wounded Hero/Heroine &amp; War Heroes/Heroines</t>
  </si>
  <si>
    <t>Rescue #1</t>
  </si>
  <si>
    <t>Abuse of side characters and self-harm</t>
  </si>
  <si>
    <t>https://www.goodreads.com/book/show/57114654-rescue</t>
  </si>
  <si>
    <t>Galaxies and Oceans</t>
  </si>
  <si>
    <t>N. R. Walker</t>
  </si>
  <si>
    <t>Age Difference, Angst, Hurt/Comfort, Loner/Isolated, Small Town, Sweet MC- beta hero/kindhearted heroine/etc, Wounded Hero/Heroine &amp; War Heroes/Heroines</t>
  </si>
  <si>
    <t>Swoon, Cry, Rage, Smolder, Transported</t>
  </si>
  <si>
    <t>abuse, assault, homelessness, death of partner (in the past)</t>
  </si>
  <si>
    <t>https://www.goodreads.com/book/show/40627465-galaxies-and-oceans</t>
  </si>
  <si>
    <t>Imago</t>
  </si>
  <si>
    <t>Insta-lust/Insta-love/Insta-coffee, Novella or Short Story, Opposites Attract, Outdoorsy- forest/hiking/camping etc, Sweet MC- beta hero/kindhearted heroine/etc</t>
  </si>
  <si>
    <t>Imago #1</t>
  </si>
  <si>
    <t>Natural Disaster</t>
  </si>
  <si>
    <t>https://www.goodreads.com/book/show/34342184-imago</t>
  </si>
  <si>
    <t>The Wingman</t>
  </si>
  <si>
    <t>Natasha Anders</t>
  </si>
  <si>
    <t>Fake Relationship, Ordinary MC- Average looks or career, Slow Burn, Small Town</t>
  </si>
  <si>
    <t>Africa</t>
  </si>
  <si>
    <t>Alpha Men #1</t>
  </si>
  <si>
    <t>https://www.goodreads.com/book/show/31697989-the-wingman</t>
  </si>
  <si>
    <t>Do You Feel It Too?</t>
  </si>
  <si>
    <t>Nicola Rendell</t>
  </si>
  <si>
    <t>Celebrities- Rock star/Actor/Model, Insta-lust/Insta-love/Insta-coffee, Mature (35 and over), Opposites Attract</t>
  </si>
  <si>
    <t>Tingle, Laugh, Dream, Learn</t>
  </si>
  <si>
    <t>https://www.goodreads.com/book/show/40273357-do-you-feel-it-too</t>
  </si>
  <si>
    <t>Shimmy Bang Sparkle</t>
  </si>
  <si>
    <t>Contemporary, Erotic Romance, Romantic Comedy</t>
  </si>
  <si>
    <t>Insta-lust/Insta-love/Insta-coffee, Mafia/Gang/Criminal, Mature (35 and over), Road Trip/Travel, Tattoos &amp; Piercings, Heist</t>
  </si>
  <si>
    <t>Laugh, Dream, Smolder, Inspired</t>
  </si>
  <si>
    <t>https://www.goodreads.com/book/show/37916608-shimmy-bang-sparkle</t>
  </si>
  <si>
    <t>Stay With Me</t>
  </si>
  <si>
    <t>Nicole Fiorina</t>
  </si>
  <si>
    <t>LGBTQIA+ &amp; GSM (Gender and Sexual Minorities), Neurodivergent (Autism, ADHD, dyspraxia, dyslexia, etc), Mental disability or illness</t>
  </si>
  <si>
    <t>Ollie is my husband</t>
  </si>
  <si>
    <t>Contemporary, Dark, Erotic Romance, New Adult (NA), Romantic Suspense</t>
  </si>
  <si>
    <t>Angst, Enemies-to-lovers (or dislike-to-love), Grumpy/Sunshine, Loner/Isolated, Opposites Attract, Second Chance, Tattoos &amp; Piercings</t>
  </si>
  <si>
    <t>UK</t>
  </si>
  <si>
    <t>Dirty Talk, Praise Kink</t>
  </si>
  <si>
    <t>Stay With Me trilogy, this is book 1</t>
  </si>
  <si>
    <t>From what I remember, attempted suicide (off-page)</t>
  </si>
  <si>
    <t>https://www.goodreads.com/book/show/46201805-stay-with-me</t>
  </si>
  <si>
    <t>Cruel Paradise</t>
  </si>
  <si>
    <t>Nicole Fox</t>
  </si>
  <si>
    <t>Billionaires/Millionaires/Gazillionaires etc, Class Differences, Coworkers or Colleagues, Escort/Sex worker/Courtesan, Mafia/Gang/Criminal, Single Parent</t>
  </si>
  <si>
    <t>Exhibitionism, Oral sex - cunnilingus, Oral sex - fellatio, PIV sex (penis in vagina), Pregnancy Fetish</t>
  </si>
  <si>
    <t xml:space="preserve">Oryolov Bratva Book 1 </t>
  </si>
  <si>
    <t>Swoon, Cry, Smolder</t>
  </si>
  <si>
    <t>Death, child neglect</t>
  </si>
  <si>
    <t>https://www.goodreads.com/book/show/198717640-cruel-paradise</t>
  </si>
  <si>
    <t>Dark Russian Angel</t>
  </si>
  <si>
    <t>Odette Stone</t>
  </si>
  <si>
    <t>Antihero/Villian/Stockholm Syndrome, Bodyguards &amp; Security, Forced Proximity, Mafia/Gang/Criminal</t>
  </si>
  <si>
    <t>Vancouver Mafia #1</t>
  </si>
  <si>
    <t>Swoon, Tingle, Smolder</t>
  </si>
  <si>
    <t>https://www.goodreads.com/book/show/49160345-dark-russian-angel</t>
  </si>
  <si>
    <t>Home Game</t>
  </si>
  <si>
    <t>Forced Proximity, Friends-to-lovers</t>
  </si>
  <si>
    <t>Vancouver Wolves Hockey #2</t>
  </si>
  <si>
    <t>Sexual assault, homelessness</t>
  </si>
  <si>
    <t>https://www.goodreads.com/book/show/45170561-home-game</t>
  </si>
  <si>
    <t>The Penalty Box</t>
  </si>
  <si>
    <t>Fake Relationship, Forced Proximity, Marriage of Convenience (or arranged marriage)</t>
  </si>
  <si>
    <t>Vancouver Wolves #2</t>
  </si>
  <si>
    <t>https://www.goodreads.com/book/show/49962326-the-penalty-box</t>
  </si>
  <si>
    <t>Heart's Prisoner</t>
  </si>
  <si>
    <t>Olivia Riley</t>
  </si>
  <si>
    <t>Enemies-to-lovers (or dislike-to-love), Medical- Doctor/Nurse/Vet etc, Slow Burn</t>
  </si>
  <si>
    <t>Dark World Mates #1</t>
  </si>
  <si>
    <t>imprisonment of MMC</t>
  </si>
  <si>
    <t>https://www.goodreads.com/book/show/54592300-heart-s-prisoner</t>
  </si>
  <si>
    <t>Simple Jess</t>
  </si>
  <si>
    <t>Pamela Morsi</t>
  </si>
  <si>
    <t>Angst, Blue Collar/Farmer/Rancher etc, Relationship Coach-  (ie; Teach me how to kiss), Loner/Isolated, Single Parent, Sweet MC- beta hero/kindhearted heroine/etc</t>
  </si>
  <si>
    <t>Tales From Marrying Stone #2</t>
  </si>
  <si>
    <t>dubcon/rape</t>
  </si>
  <si>
    <t>https://www.goodreads.com/book/show/49493150-simple-jess</t>
  </si>
  <si>
    <t>Geordie</t>
  </si>
  <si>
    <t>Pax Sinclair</t>
  </si>
  <si>
    <t xml:space="preserve">scottish, enemies to lovers, pregnancy romance, well developed characters, steamy, twisty </t>
  </si>
  <si>
    <t>Billionaires/Millionaires/Gazillionaires etc, Enemies-to-lovers (or dislike-to-love), Foodies- Chef/Baker/Bartender etc, Love Triangle, Slow Burn</t>
  </si>
  <si>
    <t>Anal sex, Oral sex - cunnilingus, Oral sex - fellatio</t>
  </si>
  <si>
    <t>The Scotsman's Kilt, Book 2</t>
  </si>
  <si>
    <t>Swoon, Laugh, Cry, Smolder</t>
  </si>
  <si>
    <t>https://www.goodreads.com/book/show/203048501-geordie</t>
  </si>
  <si>
    <t>Credence</t>
  </si>
  <si>
    <t>Penelope Douglas</t>
  </si>
  <si>
    <t>FMC Tiernan is initially an emotional wreck because her parents killed themselves together (you’ll find out why in the first few chapters) and warning, she's just barely an adult when a lot of the spicy stuff happens. Can’t really talk about the male main character, because you won’t really find out which one it is till a good chunk fo the book is done. Character development and time will solve everything, though!</t>
  </si>
  <si>
    <t>Single POV, Switches</t>
  </si>
  <si>
    <t>Erotic Romance, Polyamorous, Young Adult (YA)</t>
  </si>
  <si>
    <t>Double Penetration</t>
  </si>
  <si>
    <t>The female main character is a bit young, and she has sex with multiple guys in the story; some of which are a bit old.</t>
  </si>
  <si>
    <t>https://www.goodreads.com/book/show/49084724-credence</t>
  </si>
  <si>
    <t>Crazy for Loving You</t>
  </si>
  <si>
    <t>Pippa Grant</t>
  </si>
  <si>
    <t>Billionaires/Millionaires/Gazillionaires etc, Opposites Attract</t>
  </si>
  <si>
    <t>https://www.goodreads.com/book/show/48572514-crazy-for-loving-you</t>
  </si>
  <si>
    <t>Hosed</t>
  </si>
  <si>
    <t>Pippa Grant &amp; Lili Valente</t>
  </si>
  <si>
    <t>First Responders- Firefighter/Police etc, Geek/Nerd/Misfit/Genius, Neighbors-to-lovers, Small Town</t>
  </si>
  <si>
    <t>Happy Cat #1</t>
  </si>
  <si>
    <t>https://www.goodreads.com/book/show/43448175-hosed</t>
  </si>
  <si>
    <t>While You Were Creeping</t>
  </si>
  <si>
    <t>Poppy Rhys</t>
  </si>
  <si>
    <t>Creatures or Monsters- Dragon/Orc/Fae/etc, Fake Relationship, Forced Proximity, Holidays, Novella or Short Story, Retellings- Fairytale/Folklore/Mythology, Teacher/Writer/Librarian</t>
  </si>
  <si>
    <t xml:space="preserve">Women of Dor Nye </t>
  </si>
  <si>
    <t>https://www.goodreads.com/book/show/56381931-while-you-were-creeping</t>
  </si>
  <si>
    <t>The Last Hour of Gann</t>
  </si>
  <si>
    <t>R. Lee Smith</t>
  </si>
  <si>
    <t>Dark, Science Fiction &amp; Alien</t>
  </si>
  <si>
    <t>Enemies-to-lovers (or dislike-to-love), Forced Proximity</t>
  </si>
  <si>
    <t>Swoon, Cry, Rage, Feel feels, Learn, Transported</t>
  </si>
  <si>
    <t>Rape, violence</t>
  </si>
  <si>
    <t>https://www.goodreads.com/book/show/18589656-the-last-hour-of-gann</t>
  </si>
  <si>
    <t>Cottonwood</t>
  </si>
  <si>
    <t>Angst, Creatures or Monsters- Dragon/Orc/Fae/etc, Dystopian, Forbidden or Taboo, Slow Burn</t>
  </si>
  <si>
    <t>Violence, child death, attempted assault, physical abuse, death of dog</t>
  </si>
  <si>
    <t>https://www.goodreads.com/book/show/17563213-cottonwood</t>
  </si>
  <si>
    <t>Land of the Beautiful Dead</t>
  </si>
  <si>
    <t>Antihero/Villian/Stockholm Syndrome, Angel &amp; Demon etc, Angst, Creatures or Monsters- Dragon/Orc/Fae/etc, Dystopian, Enemies-to-lovers (or dislike-to-love), Retellings- Fairytale/Folklore/Mythology, Vampire, Undead etc</t>
  </si>
  <si>
    <t>Suicide, Cancer, Violence</t>
  </si>
  <si>
    <t>https://www.goodreads.com/book/show/27228341-land-of-the-beautiful-dead</t>
  </si>
  <si>
    <t>A Place in the Sun</t>
  </si>
  <si>
    <t>R.S. Grey</t>
  </si>
  <si>
    <t>Forced Proximity, Road Trip/Travel, Small Town</t>
  </si>
  <si>
    <t>https://www.goodreads.com/book/show/31823218-a-place-in-the-sun</t>
  </si>
  <si>
    <t>Make Me Bad</t>
  </si>
  <si>
    <t>https://www.goodreads.com/book/show/44182029-make-me-bad</t>
  </si>
  <si>
    <t>Not So Nice Guy</t>
  </si>
  <si>
    <t>Coworkers or Colleagues, Friends-to-lovers</t>
  </si>
  <si>
    <t>https://www.goodreads.com/book/show/41051411-not-so-nice-guy</t>
  </si>
  <si>
    <t>Her Band of Rakes</t>
  </si>
  <si>
    <t>RA Steffan</t>
  </si>
  <si>
    <t>LGBTQIA+ &amp; GSM (Gender and Sexual Minorities), BIPoC (Black, Indigenous, People of Colour)</t>
  </si>
  <si>
    <t>Historical Romance, Polyamorous</t>
  </si>
  <si>
    <t>Class Differences, Forced Proximity, Hurt/Comfort</t>
  </si>
  <si>
    <t>sexual assault (in the past), abusive guardians, kidnapping</t>
  </si>
  <si>
    <t>https://www.goodreads.com/book/show/60686667-her-band-of-rakes</t>
  </si>
  <si>
    <t>The Experiment</t>
  </si>
  <si>
    <t>Rebecca Raine</t>
  </si>
  <si>
    <t>Friends-to-lovers, Ordinary MC- Average looks or career</t>
  </si>
  <si>
    <t>Experimental Love #1</t>
  </si>
  <si>
    <t>Laugh, Feel feels, Learn</t>
  </si>
  <si>
    <t>https://www.goodreads.com/book/show/54950941-the-experiment</t>
  </si>
  <si>
    <t>Heart and Hand</t>
  </si>
  <si>
    <t>Rebel Carter</t>
  </si>
  <si>
    <t>MFM</t>
  </si>
  <si>
    <t>FMC is biracial Black/Spanish, MMCs are white</t>
  </si>
  <si>
    <t>Historical Romance, Multicultural/Interracial, Polyamorous, Western &amp; Frontier</t>
  </si>
  <si>
    <t>Insta-lust/Insta-love/Insta-coffee, Loner/Isolated, Marriage of Convenience (or arranged marriage), Menage, Small Town, Sweet MC- beta hero/kindhearted heroine/etc</t>
  </si>
  <si>
    <t>Gold Sky #1</t>
  </si>
  <si>
    <t>Smolder, Inspired</t>
  </si>
  <si>
    <t>https://www.goodreads.com/book/show/45484739-heart-and-hand</t>
  </si>
  <si>
    <t>Dead Wolf Walking: Bad Moon Academy</t>
  </si>
  <si>
    <t>Rory Miles</t>
  </si>
  <si>
    <t>medium, werewolf shifters, fae, ghosts, chosen mates</t>
  </si>
  <si>
    <t>Fantasy, New Adult (NA), Paranormal, Polyamorous</t>
  </si>
  <si>
    <t>A/B/O (alpha/beta/omega), Creatures or Monsters- Dragon/Orc/Fae/etc, Insta-lust/Insta-love/Insta-coffee, Loner/Isolated, Outdoorsy- forest/hiking/camping etc, Pining/Yearning, Reverse Harem/Why Choose, Shifter/Wereperson, Spy/Intrigue/Mystery, Sweet MC- beta hero/kindhearted heroine/etc, Teacher/Writer/Librarian</t>
  </si>
  <si>
    <t>Blood Play, Dirty Talk, Impact play (spanking etc)</t>
  </si>
  <si>
    <t>Bad Moon Academy book #1</t>
  </si>
  <si>
    <t>suicide (mentioned + imagery/visions), death of parents, alcohol abuse (MC in recovery)</t>
  </si>
  <si>
    <t>https://www.goodreads.com/book/show/57520528-dead-wolf-walking</t>
  </si>
  <si>
    <t>The Beneath (Behind the Wall, Book One)</t>
  </si>
  <si>
    <t xml:space="preserve">Roxanna C Revell </t>
  </si>
  <si>
    <t xml:space="preserve">Dark romance and Dystopian </t>
  </si>
  <si>
    <t>Hateful 🤣 some that you really hate plus those with all the shades of grey. Loved the MFC, Eve. The relationship with her brother and friends so many multi-layered characters. Bloody emotional rollercoaster! Bring the hankies and prepare to feel hot under the collar. So original and unique. That's my main takeaway from this. Series is available on KU - all three books.</t>
  </si>
  <si>
    <t>Dual POV, First person, There are milti-POVs</t>
  </si>
  <si>
    <t>Antihero/Villian/Stockholm Syndrome, Angst, Class Differences, Dystopian, Forbidden or Taboo</t>
  </si>
  <si>
    <t xml:space="preserve">It's Dystopian </t>
  </si>
  <si>
    <t xml:space="preserve">Anal sex, Dirty Talk, Oral sex - cunnilingus, Oral sex - fellatio, MC is troubled and at times uses FMC to calm down </t>
  </si>
  <si>
    <t>Behind the Wall</t>
  </si>
  <si>
    <t>Swoon, Tingle, Laugh, Cry, Rage, Feel feels, Smolder, Scared, Inspired, Transported</t>
  </si>
  <si>
    <t xml:space="preserve">Dubious consent, violence, murder,  death of a loved one </t>
  </si>
  <si>
    <t>https://www.goodreads.com/book/show/57896916-the-beneath-behind-the-wall-1</t>
  </si>
  <si>
    <t>Bound to the Battle God</t>
  </si>
  <si>
    <t>Ruby Dixon</t>
  </si>
  <si>
    <t>Aspect and Anchor #1</t>
  </si>
  <si>
    <t>https://www.goodreads.com/book/show/50841330-bound-to-the-battle-god</t>
  </si>
  <si>
    <t>Ice Planet Barbarians</t>
  </si>
  <si>
    <t>Fated Mates, Insta-lust/Insta-love/Insta-coffee, Relationship Coach-  (ie; Teach me how to kiss)</t>
  </si>
  <si>
    <t>Ice Planet Barbarians #1</t>
  </si>
  <si>
    <t>Sexual assault, alien rape, dubious consent, forced abortion</t>
  </si>
  <si>
    <t>https://www.goodreads.com/book/show/25128811-ice-planet-barbarians</t>
  </si>
  <si>
    <t>Worse Guy</t>
  </si>
  <si>
    <t>Antihero/Villian/Stockholm Syndrome, Friends-to-lovers, Loner/Isolated</t>
  </si>
  <si>
    <t>Villains in Love</t>
  </si>
  <si>
    <t>https://www.goodreads.com/book/show/58189829-worse-guy</t>
  </si>
  <si>
    <t>Animate Me</t>
  </si>
  <si>
    <t>Ruth Clampett</t>
  </si>
  <si>
    <t>Coworkers or Colleagues, Friends-to-lovers, Geek/Nerd/Misfit/Genius, Love Triangle, Slow Burn, Sweet MC- beta hero/kindhearted heroine/etc</t>
  </si>
  <si>
    <t>https://www.goodreads.com/book/show/17750250-animate-me</t>
  </si>
  <si>
    <t>Broken Earth</t>
  </si>
  <si>
    <t>S. J. Sanders</t>
  </si>
  <si>
    <t>Creatures or Monsters- Dragon/Orc/Fae/etc, Sweet MC- beta hero/kindhearted heroine/etc</t>
  </si>
  <si>
    <t>Argurma Salvager #1</t>
  </si>
  <si>
    <t>Rape of secondary characters, death of child, cannibalism</t>
  </si>
  <si>
    <t>https://www.goodreads.com/book/show/52231217-broken-earth</t>
  </si>
  <si>
    <t>The Sleet Series</t>
  </si>
  <si>
    <t>S.J. Tilly</t>
  </si>
  <si>
    <t>Erotic Romance, Sports Romance</t>
  </si>
  <si>
    <t>Athlete, Billionaires/Millionaires/Gazillionaires etc, Celebrities- Rock star/Actor/Model, Rake/Player</t>
  </si>
  <si>
    <t>Sleet Kitten #1 Sleet Sugar #2 Sleet Banshee #3</t>
  </si>
  <si>
    <t>https://www.goodreads.com/series/312397-sleet</t>
  </si>
  <si>
    <t>Queen of Klutz</t>
  </si>
  <si>
    <t>Samantha Garman</t>
  </si>
  <si>
    <t>Coworkers or Colleagues, Foodies- Chef/Baker/Bartender etc, Romance Adjacent, Slow Burn, Sweet MC- beta hero/kindhearted heroine/etc</t>
  </si>
  <si>
    <t>Sibby #1</t>
  </si>
  <si>
    <t>https://www.goodreads.com/book/show/42403496-queen-of-klutz</t>
  </si>
  <si>
    <t>Gravity</t>
  </si>
  <si>
    <t>Sara Cate</t>
  </si>
  <si>
    <t>Age Difference, Billionaires/Millionaires/Gazillionaires etc, Forbidden or Taboo</t>
  </si>
  <si>
    <t>Age Play, Dirty Talk, Dom/Sub, Oral sex - cunnilingus, Voyeurism</t>
  </si>
  <si>
    <t xml:space="preserve">Characters are all getting over the same trauma- death of a loved one in a helicopter crash </t>
  </si>
  <si>
    <t>https://www.goodreads.com/book/show/55529084</t>
  </si>
  <si>
    <t>Keep me</t>
  </si>
  <si>
    <t>MMC struggles with crippling anxiety</t>
  </si>
  <si>
    <t>BDSM or Kink, Billionaires/Millionaires/Gazillionaires etc, Enemies-to-lovers (or dislike-to-love), Fake Relationship, Marriage of Convenience (or arranged marriage)</t>
  </si>
  <si>
    <t>Dirty Talk, Impact play (spanking etc), Oral sex - cunnilingus, PIV sex (penis in vagina)</t>
  </si>
  <si>
    <t>https://www.goodreads.com/book/show/208503278-keep-me</t>
  </si>
  <si>
    <t>A Manny for Christmas</t>
  </si>
  <si>
    <t>Sara Madderson</t>
  </si>
  <si>
    <t xml:space="preserve">Second chance romance. FMC is a pastry chef with two young kids, recently divorced. MMC is a volunteer for a clean water charity and has traveled the world. </t>
  </si>
  <si>
    <t>Holidays, Second Chance, Single Parent</t>
  </si>
  <si>
    <t>Bondage &amp; Restraints</t>
  </si>
  <si>
    <t>Swoon, Tingle, Laugh, Feel feels, Smolder</t>
  </si>
  <si>
    <t>https://www.goodreads.com/book/show/63066942-a-manny-for-christmas?from_search=true&amp;from_srp=true&amp;qid=eUNbtQdojq&amp;rank=1</t>
  </si>
  <si>
    <t>The Understatement of the Year</t>
  </si>
  <si>
    <t>Sarina Bowen</t>
  </si>
  <si>
    <t>Athlete, Hurt/Comfort</t>
  </si>
  <si>
    <t>The Ivy Years Book #3</t>
  </si>
  <si>
    <t>past assault (homophobia-driven)</t>
  </si>
  <si>
    <t>https://www.goodreads.com/book/show/63292425-the-understatement-of-the-year</t>
  </si>
  <si>
    <t>You Don't Have to Say You Love Me</t>
  </si>
  <si>
    <t>Sarra Manning</t>
  </si>
  <si>
    <t>Fake Relationship, Friends-to-lovers, Relationship Coach-  (ie; Teach me how to kiss), Ordinary MC- Average looks or career, Slow Burn</t>
  </si>
  <si>
    <t>https://www.goodreads.com/book/show/8471815-you-don-t-have-to-say-you-love-me</t>
  </si>
  <si>
    <t>A Touch of Darkness</t>
  </si>
  <si>
    <t>Scarlett St. Clair</t>
  </si>
  <si>
    <t>Erotic Romance, Fantasy &amp; Gothic, Paranormal, Romantic Suspense</t>
  </si>
  <si>
    <t>Antihero/Villian/Stockholm Syndrome, Creatures or Monsters- Dragon/Orc/Fae/etc, Enemies-to-lovers (or dislike-to-love), Forbidden or Taboo, Retellings- Fairytale/Folklore/Mythology</t>
  </si>
  <si>
    <t>Hades x Persephone #1</t>
  </si>
  <si>
    <t>https://www.goodreads.com/book/show/55215339-a-touch-of-darkness</t>
  </si>
  <si>
    <t>The Replacements</t>
  </si>
  <si>
    <t>Shae Sanders</t>
  </si>
  <si>
    <t>CEO MMC/Assistant FMC</t>
  </si>
  <si>
    <t>Billionaires/Millionaires/Gazillionaires etc, Coworkers or Colleagues, Enemies-to-lovers (or dislike-to-love), Hurt/Comfort</t>
  </si>
  <si>
    <t>https://www.goodreads.com/book/show/59990438-the-replacements</t>
  </si>
  <si>
    <t>Check Your Work</t>
  </si>
  <si>
    <t>Skye Kilaen</t>
  </si>
  <si>
    <t>Both are STEM!  Heroine is a programmer, hero is a math teacher</t>
  </si>
  <si>
    <t>Age Difference, Fake Relationship, Geek/Nerd/Misfit/Genius, Ordinary MC- Average looks or career, Sweet MC- beta hero/kindhearted heroine/etc, Tattoos &amp; Piercings</t>
  </si>
  <si>
    <t>Love at Knockdown #3</t>
  </si>
  <si>
    <t>Swoon, Dream</t>
  </si>
  <si>
    <t>Hero faced queerphobia in the past</t>
  </si>
  <si>
    <t>https://www.goodreads.com/book/show/59867218</t>
  </si>
  <si>
    <t>Gurpreet and the Wrong Twin</t>
  </si>
  <si>
    <t>Sookh Kaur</t>
  </si>
  <si>
    <t>BIPoC (Black, Indigenous, People of Colour), Religious Minorities, FMC and MMC are Sikh Punjabi American</t>
  </si>
  <si>
    <t>Contemporary, Multicultural/Interracial, Romantic Comedy</t>
  </si>
  <si>
    <t>Blue Collar/Farmer/Rancher etc, Fake Relationship, Geek/Nerd/Misfit/Genius, Relationship Coach-  (ie; Teach me how to kiss), Medical- Doctor/Nurse/Vet etc, Motorcycle Club, Slow Burn, Small Town, Sweet MC- beta hero/kindhearted heroine/etc</t>
  </si>
  <si>
    <t>Five Friends With Chai #3</t>
  </si>
  <si>
    <t>Feel feels, Learn</t>
  </si>
  <si>
    <t>Grief, illness of grandparent</t>
  </si>
  <si>
    <t>https://www.goodreads.com/book/show/56677934-gurpreet-and-the-wrong-twin</t>
  </si>
  <si>
    <t>Coffee Girl</t>
  </si>
  <si>
    <t>Sophie Sinclair</t>
  </si>
  <si>
    <t>Celebrities- Rock star/Actor/Model</t>
  </si>
  <si>
    <t>Coffee Book #1</t>
  </si>
  <si>
    <t>https://www.goodreads.com/book/show/48766474-coffee-girl</t>
  </si>
  <si>
    <t>A Court This Cruel and Lovely</t>
  </si>
  <si>
    <t>Stacia Stark</t>
  </si>
  <si>
    <t>Enemies-to-lovers (or dislike-to-love), Forced Proximity, Slow Burn</t>
  </si>
  <si>
    <t>Kingdom of Lies #1</t>
  </si>
  <si>
    <t>Dream, Transported</t>
  </si>
  <si>
    <t>https://www.goodreads.com/book/show/122779502-a-court-this-cruel-and-lovely</t>
  </si>
  <si>
    <t>A Rogue in the Making</t>
  </si>
  <si>
    <t>Stacy Reid</t>
  </si>
  <si>
    <t>Forced Proximity, Mistaken or False Identity, Regency, Virgin MC</t>
  </si>
  <si>
    <t>Forever Yours book 11</t>
  </si>
  <si>
    <t>https://www.goodreads.com/book/show/52905826-a-rogue-in-the-making?from_search=true&amp;from_srp=true&amp;qid=3dPNxsv14g&amp;rank=16</t>
  </si>
  <si>
    <t>Ex Games</t>
  </si>
  <si>
    <t>Stella Rhys</t>
  </si>
  <si>
    <t>Billionaires/Millionaires/Gazillionaires etc, Enemies-to-lovers (or dislike-to-love), Fake Relationship, Off Limits (ie; Brother's Best Friend)</t>
  </si>
  <si>
    <t>Swoon, Tingle, Feel feels</t>
  </si>
  <si>
    <t xml:space="preserve">Mention of miscarriage </t>
  </si>
  <si>
    <t>https://www.goodreads.com/book/show/32607703-ex-games</t>
  </si>
  <si>
    <t>That Kind of Guy</t>
  </si>
  <si>
    <t>Stephanie Archer</t>
  </si>
  <si>
    <t>Enemies-to-lovers (or dislike-to-love), Fake Relationship, Forced Proximity, Marriage of Convenience (or arranged marriage), Small Town</t>
  </si>
  <si>
    <t>Dirty Talk, Oral sex - cunnilingus, Oral sex - fellatio</t>
  </si>
  <si>
    <t>Queen's Cove #1</t>
  </si>
  <si>
    <t>https://www.goodreads.com/book/show/122751954-that-kind-of-guy</t>
  </si>
  <si>
    <t>The Wrong Mr. Right</t>
  </si>
  <si>
    <t>Hannah, the FMC, is about to turn thirty and decides she wants Wyatt, the cinnamon roll MMC, to teach her to be a “hot girl” to find a boyfriend and kickstart her life.</t>
  </si>
  <si>
    <t>Athlete, Friends-to-lovers, Only One Bed, Outdoorsy- forest/hiking/camping etc, Slow Burn, Small Town, Cinnamon Roll MMC</t>
  </si>
  <si>
    <t>Oral sex - cunnilingus, Oral sex - fellatio, Praise Kink</t>
  </si>
  <si>
    <t>Queen's Cove #2</t>
  </si>
  <si>
    <t>Minor mentions of terminal illness (past, not main characters), death of parent</t>
  </si>
  <si>
    <t>https://www.goodreads.com/book/show/122751961-the-wrong-mr-right</t>
  </si>
  <si>
    <t>In Your Dreams, Holden Rhodes</t>
  </si>
  <si>
    <t>A grumpy-sunshine friends-with-benefits spicy small town romantic comedy with an HEA. This is book 3 in the Queen's Cove series but can be read as a standalone.</t>
  </si>
  <si>
    <t>Forced Proximity, Grumpy/Sunshine, Outdoorsy- forest/hiking/camping etc, Relationship Coach-  (ie; Teach me how to kiss), Second Chance, Slow Burn, Small Town</t>
  </si>
  <si>
    <t>Oral sex - cunnilingus, Oral sex - fellatio, Vibrator use, Car Sex, Shower Sex</t>
  </si>
  <si>
    <t>Queens' Cove $3</t>
  </si>
  <si>
    <t>https://www.goodreads.com/book/show/122751971-in-your-dreams-holden-rhodes</t>
  </si>
  <si>
    <t>The Girl with A Secret Crush</t>
  </si>
  <si>
    <t>Sudha Nair</t>
  </si>
  <si>
    <t>Editor fmc and author mmc, grumpy x sunshine</t>
  </si>
  <si>
    <t>Dark, Romantic Comedy</t>
  </si>
  <si>
    <t>Age Difference, Coworkers or Colleagues, Forced Proximity, Grumpy/Sunshine, Opposites Attract</t>
  </si>
  <si>
    <t>Asia &amp; Pacific Islands</t>
  </si>
  <si>
    <t>https://www.goodreads.com/en/book/show/40883639</t>
  </si>
  <si>
    <t>Daydreamer</t>
  </si>
  <si>
    <t>Susie Tate</t>
  </si>
  <si>
    <t>Billionaires/Millionaires/Gazillionaires etc, Childhood Friends, Geek/Nerd/Misfit/Genius</t>
  </si>
  <si>
    <t>https://www.goodreads.com/book/show/214249697-daydreamer</t>
  </si>
  <si>
    <t>Bear, Otter, and the Kid</t>
  </si>
  <si>
    <t>T.J. Klune</t>
  </si>
  <si>
    <t>Angst, Friends-to-lovers, Off Limits (ie; Brother's Best Friend), Single Parent</t>
  </si>
  <si>
    <t>The Seafare Chronicles #1</t>
  </si>
  <si>
    <t>https://www.goodreads.com/book/show/12156759-bear-otter-and-the-kid</t>
  </si>
  <si>
    <t>Tal Bauer</t>
  </si>
  <si>
    <t>Angst, Athlete, Forbidden or Taboo, Slow Burn</t>
  </si>
  <si>
    <t>Swoon, Cry, Feel feels</t>
  </si>
  <si>
    <t>https://www.goodreads.com/book/show/61848341-gravity</t>
  </si>
  <si>
    <t>Treasure of the Abyss</t>
  </si>
  <si>
    <t>Tiffany Roberts</t>
  </si>
  <si>
    <t>Creatures or Monsters- Dragon/Orc/Fae/etc, Enemies-to-lovers (or dislike-to-love), Forbidden or Taboo, Insta-lust/Insta-love/Insta-coffee</t>
  </si>
  <si>
    <t>The Kraken #1</t>
  </si>
  <si>
    <t>https://www.goodreads.com/book/show/37685787-treasure-of-the-abyss</t>
  </si>
  <si>
    <t>Bennett Mafia</t>
  </si>
  <si>
    <t>Tijan</t>
  </si>
  <si>
    <t>Antihero/Villian/Stockholm Syndrome, Billionaires/Millionaires/Gazillionaires etc, Enemies-to-lovers (or dislike-to-love), Mafia/Gang/Criminal, Slow Burn</t>
  </si>
  <si>
    <t>Bennett Mafia #1</t>
  </si>
  <si>
    <t>Swoon, Laugh, Rage, Feel feels, Smolder</t>
  </si>
  <si>
    <t>https://www.goodreads.com/book/show/44222846-bennett-mafia</t>
  </si>
  <si>
    <t>Enemies</t>
  </si>
  <si>
    <t>Contemporary, New Adult (NA), Sports Romance</t>
  </si>
  <si>
    <t>Celebrities- Rock star/Actor/Model, Enemies-to-lovers (or dislike-to-love), Hurt/Comfort, Slow Burn</t>
  </si>
  <si>
    <t xml:space="preserve">sexual assault trauma </t>
  </si>
  <si>
    <t>https://www.goodreads.com/book/show/49047293-enemies</t>
  </si>
  <si>
    <t>Teardrop Shot</t>
  </si>
  <si>
    <t>Contemporary, Dark, Sports Romance</t>
  </si>
  <si>
    <t>Friends-to-lovers, Hurt/Comfort, Slow Burn</t>
  </si>
  <si>
    <t>https://www.goodreads.com/book/show/45701029-teardrop-shot</t>
  </si>
  <si>
    <t>Heart Shaped Hack</t>
  </si>
  <si>
    <t>Tracey Garvis Gaines</t>
  </si>
  <si>
    <t>Class Differences, Geek/Nerd/Misfit/Genius, Sweet MC- beta hero/kindhearted heroine/etc</t>
  </si>
  <si>
    <t>Laugh, Cry, Learn, Inspired</t>
  </si>
  <si>
    <t>https://www.goodreads.com/book/show/25630718-heart-shaped-hack</t>
  </si>
  <si>
    <t>Crazy Little Thing</t>
  </si>
  <si>
    <t>Tracy Brogan</t>
  </si>
  <si>
    <t>Neighbors-to-lovers, Romance Adjacent, Slow Burn</t>
  </si>
  <si>
    <t>Bell Harbor #1</t>
  </si>
  <si>
    <t>https://www.goodreads.com/book/show/17204568-crazy-little-thing</t>
  </si>
  <si>
    <t>Highland Surrender</t>
  </si>
  <si>
    <t>Enemies-to-lovers (or dislike-to-love), Marriage of Convenience (or arranged marriage)</t>
  </si>
  <si>
    <t xml:space="preserve">Not super clear consent originally. </t>
  </si>
  <si>
    <t>https://www.goodreads.com/book/show/15781910-highland-surrender</t>
  </si>
  <si>
    <t>The Best Medicine</t>
  </si>
  <si>
    <t>Age Difference, Opposites Attract, Romance Adjacent, Slow Burn</t>
  </si>
  <si>
    <t>Bell Harbor #2</t>
  </si>
  <si>
    <t>https://www.goodreads.com/book/show/19822079-the-best-medicine</t>
  </si>
  <si>
    <t>A Major Motion Christmas</t>
  </si>
  <si>
    <t>Trinity Byrne</t>
  </si>
  <si>
    <t>Erotic Romance, Romantic Comedy</t>
  </si>
  <si>
    <t>Celebrities- Rock star/Actor/Model, Holidays, Novella or Short Story, Small Town</t>
  </si>
  <si>
    <t>South America</t>
  </si>
  <si>
    <t>https://www.goodreads.com/book/show/202342950-a-major-motion-christmas</t>
  </si>
  <si>
    <t>Born, Darkly</t>
  </si>
  <si>
    <t>Trisha Wolfe</t>
  </si>
  <si>
    <t>Dark, Romantic Suspense</t>
  </si>
  <si>
    <t>Antihero/Villian/Stockholm Syndrome, Angst, Forbidden or Taboo, Mafia/Gang/Criminal</t>
  </si>
  <si>
    <t>Tingle, Rage, Learn, Scared, Transported</t>
  </si>
  <si>
    <t>murder (gore), psychopath, ambiguous morals</t>
  </si>
  <si>
    <t>https://www.goodreads.com/book/show/32758410-born-darkly</t>
  </si>
  <si>
    <t>Ruth's Bonded</t>
  </si>
  <si>
    <t>V. C. Lancaster</t>
  </si>
  <si>
    <t>Erotic Romance, Multicultural/Interracial, Science Fiction &amp; Alien</t>
  </si>
  <si>
    <t>Forced Proximity, Ordinary MC- Average looks or career, Outdoorsy- forest/hiking/camping etc</t>
  </si>
  <si>
    <t>Ruth &amp; Gron #1</t>
  </si>
  <si>
    <t>Swoon, Laugh, Feel feels, Dream, Smolder, Learn, Inspired, Transported</t>
  </si>
  <si>
    <t>https://www.goodreads.com/book/show/25887352-ruth-s-bonded</t>
  </si>
  <si>
    <t>The E.T. Guy</t>
  </si>
  <si>
    <t>Contemporary, Erotic Romance, Science Fiction &amp; Alien</t>
  </si>
  <si>
    <t>Coworkers or Colleagues, Enemies-to-lovers (or dislike-to-love)</t>
  </si>
  <si>
    <t>Office Aliens #1</t>
  </si>
  <si>
    <t>Laugh, Feel feels, Dream, Smolder, Inspired</t>
  </si>
  <si>
    <t>https://www.goodreads.com/book/show/33139830-the-e-t-guy</t>
  </si>
  <si>
    <t>Sweet Vengeance</t>
  </si>
  <si>
    <t>Viano Oniomoh</t>
  </si>
  <si>
    <t>Lonely sweet demon is summoned to help the FMC get vengeance on her rapist</t>
  </si>
  <si>
    <t>Black Love/Black Romance, Paranormal</t>
  </si>
  <si>
    <t>Loner/Isolated</t>
  </si>
  <si>
    <t>Pegging</t>
  </si>
  <si>
    <t>Sweet Demons</t>
  </si>
  <si>
    <t>Mentions, discussions, references, and descriptions of sexual assault (as a past event); mentions, discussions, and depictions of murder; mentions, discussions, and references to slavery and imprisonment (as a past event); religious imagery; trauma; PTSD; blood drinking; violence; gore; (blink and you’ll miss it) dominance/submission; references to a main character being drugged at a bar (as a past event); loss of parents via a plane crash (as a past event);  mention of a hysterectomy in relation to debilitating fibroids; and explicit sex scenes.</t>
  </si>
  <si>
    <t>https://www.goodreads.com/book/show/97459787-sweet-vengeance</t>
  </si>
  <si>
    <t>Choosing Theo</t>
  </si>
  <si>
    <t>Victoria Aveline</t>
  </si>
  <si>
    <t>Creatures or Monsters- Dragon/Orc/Fae/etc, Fated Mates, Insta-lust/Insta-love/Insta-coffee, Relationship Coach-  (ie; Teach me how to kiss), Novella or Short Story, Wounded Hero/Heroine &amp; War Heroes/Heroines</t>
  </si>
  <si>
    <t>Clecanian #1</t>
  </si>
  <si>
    <t>Tingle, Feel feels, Transported</t>
  </si>
  <si>
    <t>https://www.goodreads.com/book/show/51479476</t>
  </si>
  <si>
    <t>Claimed by the Cthulhu</t>
  </si>
  <si>
    <t>Wendi Gogh</t>
  </si>
  <si>
    <t>Contemporary, Multicultural/Interracial, Paranormal, Romantic Comedy, Science Fiction &amp; Alien</t>
  </si>
  <si>
    <t>Creatures or Monsters- Dragon/Orc/Fae/etc, Fated Mates, Geek/Nerd/Misfit/Genius, Pining/Yearning, Secret Baby</t>
  </si>
  <si>
    <t>Anal sex, Oral sex - cunnilingus, PIV sex (penis in vagina), Sex Toy Play</t>
  </si>
  <si>
    <t>audited by the anubis</t>
  </si>
  <si>
    <t>Swoon, Laugh, Feel feels, Dream, Smolder</t>
  </si>
  <si>
    <t>Past sexual abuse</t>
  </si>
  <si>
    <t>https://www.goodreads.com/book/show/124965496-claimed-by-the-cthulhu</t>
  </si>
  <si>
    <t>The Best Man</t>
  </si>
  <si>
    <t>Winter Renshaw</t>
  </si>
  <si>
    <t>Billionaires/Millionaires/Gazillionaires etc, Insta-lust/Insta-love/Insta-coffee, Ordinary MC- Average looks or career, Romance Adjacent, Slow Burn, Sweet MC- beta hero/kindhearted heroine/etc</t>
  </si>
  <si>
    <t>Swoon, Laugh, Cry, Rage, Feel feels, Inspired</t>
  </si>
  <si>
    <t>https://www.goodreads.com/book/show/52850847-the-best-man</t>
  </si>
  <si>
    <t xml:space="preserve">Surrendering to Scylla </t>
  </si>
  <si>
    <t xml:space="preserve">Wren K Morris </t>
  </si>
  <si>
    <t>Adventure</t>
  </si>
  <si>
    <t xml:space="preserve">Creatures or Monsters- Dragon/Orc/Fae/etc, Forced Proximity, Grumpy/Sunshine, Ancient Greece </t>
  </si>
  <si>
    <t>Dom/Sub, Femdom, Oral sex - cunnilingus, Oral sex - fellatio, PIV sex (penis in vagina), Praise Kink, Voyeurism</t>
  </si>
  <si>
    <t>https://www.goodreads.com/book/show/62126935-surrendering-to-scylla</t>
  </si>
  <si>
    <t>Homewrecker</t>
  </si>
  <si>
    <t>Zenny Daye</t>
  </si>
  <si>
    <t>BIPoC (Black, Indigenous, People of Colour), Mental disability or illness</t>
  </si>
  <si>
    <t>Contemporary, Dark, Erotic Romance, Military or Security, Multicultural/Interracial, Romantic Comedy, Sports Romance</t>
  </si>
  <si>
    <t>Antihero/Villian/Stockholm Syndrome, Athlete, Billionaires/Millionaires/Gazillionaires etc, Celebrities- Rock star/Actor/Model, Class Differences, Forbidden or Taboo, Off Limits (ie; Brother's Best Friend), Opposites Attract, Political, Slow Burn</t>
  </si>
  <si>
    <t>Laugh, Cry, Rage, Feel feels, Inspired</t>
  </si>
  <si>
    <t>assault, grief, death of a loved one</t>
  </si>
  <si>
    <t>https://www.goodreads.com/book/show/56932944-homewrecker</t>
  </si>
  <si>
    <t>Just For A While</t>
  </si>
  <si>
    <t>Zøe Haslie</t>
  </si>
  <si>
    <t>Art Themed- Music/Dance/Sculpture, Enemies-to-lovers (or dislike-to-love), Loner/Isolated, Small Town, Wounded Hero/Heroine &amp; War Heroes/Heroines</t>
  </si>
  <si>
    <t>Tingle, Cry, Feel feels, Dream, Inspired</t>
  </si>
  <si>
    <t>https://www.goodreads.com/book/show/51035732-just-for-a-while</t>
  </si>
  <si>
    <t>Claimed by the Horde King</t>
  </si>
  <si>
    <t>Zoey Draven</t>
  </si>
  <si>
    <t>Horde Kings of Dakkar #2</t>
  </si>
  <si>
    <t>https://www.goodreads.com/book/show/49610915-claimed-by-the-horde-king</t>
  </si>
  <si>
    <t>The Alien's Lover</t>
  </si>
  <si>
    <t>Creatures or Monsters- Dragon/Orc/Fae/etc</t>
  </si>
  <si>
    <t>Warriors of Luxiria #3</t>
  </si>
  <si>
    <t>https://www.goodreads.com/book/show/35449785-the-alien-s-lover</t>
  </si>
  <si>
    <t>Update existing entry</t>
  </si>
  <si>
    <t xml:space="preserve">Skin by Aveda Vice </t>
  </si>
  <si>
    <t>Not KU</t>
  </si>
  <si>
    <t xml:space="preserve">Inextricably Tied </t>
  </si>
  <si>
    <t>Direbound</t>
  </si>
  <si>
    <t>Sable Sorenson</t>
  </si>
  <si>
    <t>Class Differences, Fated Mates</t>
  </si>
  <si>
    <t>Time to Shine</t>
  </si>
  <si>
    <t xml:space="preserve">Rachel Reid </t>
  </si>
  <si>
    <t>Casey is a sunshine, green flag himbo with ADHD traits and Landon is quiet, shy new guy on the team with some neurodivergent traits. They're both lovely.</t>
  </si>
  <si>
    <t>Athlete, Coworkers or Colleagues, Friends-to-lovers, Grumpy/Sunshine, Holidays</t>
  </si>
  <si>
    <t>Previous death of a sibling</t>
  </si>
  <si>
    <t>https://www.goodreads.com/book/show/78641186-time-to-shine</t>
  </si>
  <si>
    <t>Like You Hate Me</t>
  </si>
  <si>
    <t>Bethany Winters</t>
  </si>
  <si>
    <t>Xavi was the best friend of Nate's little sister, who has passed away</t>
  </si>
  <si>
    <t>Angst, Best Friend's Sibling, Enemies-to-lovers (or dislike-to-love), Forced Proximity, Sibling's Best Friend</t>
  </si>
  <si>
    <t>Dirty Talk, Hate Sex</t>
  </si>
  <si>
    <t>Hawthorne University #1</t>
  </si>
  <si>
    <t>Feel feels, Smolder</t>
  </si>
  <si>
    <t>past drug &amp; alcohol abuse, grief</t>
  </si>
  <si>
    <t>https://www.goodreads.com/book/show/194856118-like-you-hate-me</t>
  </si>
  <si>
    <t>Wrangled by the Alien Rancher</t>
  </si>
  <si>
    <t>Ursa Dax</t>
  </si>
  <si>
    <t>Cute cinnamon roll aliens who want to please their new human brides</t>
  </si>
  <si>
    <t>Science Fiction &amp; Alien, Western &amp; Frontier</t>
  </si>
  <si>
    <t>Marriage of Convenience (or arranged marriage), Outdoorsy- forest/hiking/camping etc, Small Town, Virgin MC, Yee-haw it's a Cowboy</t>
  </si>
  <si>
    <t>Sci fi</t>
  </si>
  <si>
    <t xml:space="preserve">Oral sex - cunnilingus, Oral sex - fellatio, PIV sex (penis in vagina), Creative anatomy </t>
  </si>
  <si>
    <t>Cowboy Colony Mail-Order Brides Series #2</t>
  </si>
  <si>
    <t>MMC was convicted as a child and sent to the penal colony</t>
  </si>
  <si>
    <t>https://www.goodreads.com/book/show/216187029-wrangled-by-the-alien-rancher</t>
  </si>
  <si>
    <t>Garron Park</t>
  </si>
  <si>
    <t>Nordika Night</t>
  </si>
  <si>
    <t>Rough around the edges, violent rivals who want better lives for themselves</t>
  </si>
  <si>
    <t>Blue Collar/Farmer/Rancher etc, Enemies-to-lovers (or dislike-to-love), Forced Proximity, Hurt/Comfort, Off Limits (ie; Brother's Best Friend), Only One Bed</t>
  </si>
  <si>
    <t>From Nothing #1</t>
  </si>
  <si>
    <t>Both MMCs have abusive or absent parents</t>
  </si>
  <si>
    <t>https://www.goodreads.com/book/show/127924695-garron-park</t>
  </si>
  <si>
    <t>Love Language</t>
  </si>
  <si>
    <t>Reese Morrison</t>
  </si>
  <si>
    <t>LGBTQIA+ &amp; GSM (Gender and Sexual Minorities), Physical disability or illness, Deaf MMC, trans representation</t>
  </si>
  <si>
    <t xml:space="preserve">Young Dom meets older, grieving sub. He is very understanding and sweet. </t>
  </si>
  <si>
    <t>Age Difference, Angst, BDSM or Kink, Hurt/Comfort</t>
  </si>
  <si>
    <t>Anal sex, Caregiver/Little (Daddy Kink, Mommy Kink), CNC (Consensual Non Consent), Degradation Kink, Dirty Talk, Dom/Sub, Edging/Orgasm Denial, Impact play (spanking etc), Maledom, Oral sex - fellatio, Praise Kink, Sex Toy Play</t>
  </si>
  <si>
    <t>Love Language #1</t>
  </si>
  <si>
    <t>Tingle, Cry, Feel feels</t>
  </si>
  <si>
    <t>Death of a long term partner, death of a beloved parent</t>
  </si>
  <si>
    <t>https://www.goodreads.com/book/show/51225436-love-language</t>
  </si>
  <si>
    <t>Burn for Me</t>
  </si>
  <si>
    <t>Effie Campbell</t>
  </si>
  <si>
    <t>Physical disability or illness, Burn victim</t>
  </si>
  <si>
    <t>Angst, Enemies-to-lovers (or dislike-to-love), Forced Proximity, Hitman/Mercenary/Contract Killer, Mafia/Gang/Criminal</t>
  </si>
  <si>
    <t>Tingle, Laugh, Rage, Feel feels</t>
  </si>
  <si>
    <t>Body betrayal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</si>
</sst>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font>
    <font>
      <color rgb="FF000000"/>
      <name val="Roboto"/>
    </font>
    <font>
      <u/>
      <color rgb="FF0000FF"/>
    </font>
    <font>
      <sz val="8.0"/>
      <color theme="1"/>
      <name val="Arial"/>
      <scheme val="minor"/>
    </font>
    <font>
      <sz val="15.0"/>
      <color theme="1"/>
      <name val="Arial"/>
      <scheme val="minor"/>
    </font>
    <font>
      <b/>
      <sz val="15.0"/>
      <color theme="1"/>
      <name val="Arial"/>
      <scheme val="minor"/>
    </font>
    <font>
      <b/>
      <sz val="11.0"/>
      <color theme="1"/>
      <name val="Arial"/>
      <scheme val="minor"/>
    </font>
    <font>
      <b/>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2" fontId="3" numFmtId="0" xfId="0" applyAlignment="1" applyFill="1" applyFont="1">
      <alignment readingOrder="0"/>
    </xf>
    <xf borderId="0" fillId="0" fontId="1" numFmtId="0" xfId="0" applyAlignment="1" applyFont="1">
      <alignment readingOrder="0" shrinkToFit="0" wrapText="0"/>
    </xf>
    <xf borderId="0" fillId="0" fontId="4" numFmtId="0" xfId="0" applyAlignment="1" applyFont="1">
      <alignment readingOrder="0"/>
    </xf>
    <xf borderId="0" fillId="0" fontId="5" numFmtId="0" xfId="0" applyAlignment="1" applyFont="1">
      <alignment shrinkToFit="0" wrapText="0"/>
    </xf>
    <xf borderId="0" fillId="0" fontId="5" numFmtId="0" xfId="0" applyAlignment="1" applyFont="1">
      <alignment shrinkToFit="0" wrapText="0"/>
    </xf>
    <xf borderId="0" fillId="0" fontId="5" numFmtId="0" xfId="0" applyFont="1"/>
    <xf borderId="0" fillId="0" fontId="6" numFmtId="0" xfId="0" applyAlignment="1" applyFont="1">
      <alignment shrinkToFit="0" wrapText="1"/>
    </xf>
    <xf borderId="0" fillId="0" fontId="1" numFmtId="164" xfId="0" applyFont="1" applyNumberFormat="1"/>
    <xf borderId="0" fillId="0" fontId="1" numFmtId="0" xfId="0" applyFont="1"/>
    <xf borderId="0" fillId="0" fontId="7" numFmtId="0" xfId="0" applyAlignment="1" applyFont="1">
      <alignment horizontal="center" shrinkToFit="0" vertical="bottom" wrapText="1"/>
    </xf>
    <xf borderId="0" fillId="0" fontId="8" numFmtId="0" xfId="0" applyAlignment="1" applyFont="1">
      <alignment horizontal="center" shrinkToFit="0" vertical="bottom" wrapText="1"/>
    </xf>
    <xf borderId="0" fillId="0" fontId="1" numFmtId="164" xfId="0" applyFont="1" applyNumberFormat="1"/>
    <xf borderId="0" fillId="0" fontId="9" numFmtId="0" xfId="0" applyAlignment="1" applyFont="1">
      <alignment shrinkToFit="0" wrapText="1"/>
    </xf>
    <xf borderId="0" fillId="0" fontId="1" numFmtId="0" xfId="0" applyAlignment="1" applyFont="1">
      <alignment shrinkToFit="0" wrapText="1"/>
    </xf>
    <xf borderId="0" fillId="0" fontId="1" numFmtId="0" xfId="0" applyAlignment="1" applyFont="1">
      <alignment shrinkToFit="0" wrapText="0"/>
    </xf>
    <xf borderId="0" fillId="0" fontId="10" numFmtId="0" xfId="0" applyAlignment="1" applyFont="1">
      <alignment shrinkToFit="0" wrapText="0"/>
    </xf>
    <xf borderId="0" fillId="0" fontId="1"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3">
    <tableStyle count="3" pivot="0" name="Sheet2-style">
      <tableStyleElement dxfId="1" type="headerRow"/>
      <tableStyleElement dxfId="2" type="firstRowStripe"/>
      <tableStyleElement dxfId="3" type="secondRowStripe"/>
    </tableStyle>
    <tableStyle count="3" pivot="0" name="Sheet2-style 2">
      <tableStyleElement dxfId="1" type="headerRow"/>
      <tableStyleElement dxfId="2" type="firstRowStripe"/>
      <tableStyleElement dxfId="3" type="secondRowStripe"/>
    </tableStyle>
    <tableStyle count="3" pivot="0" name="Sheet2-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499" displayName="Table_1" name="Table_1" id="1">
  <tableColumns count="17">
    <tableColumn name="Timestamp" id="1"/>
    <tableColumn name="I want to:" id="2"/>
    <tableColumn name="Title" id="3"/>
    <tableColumn name="Author" id="4"/>
    <tableColumn name="Pairing" id="5"/>
    <tableColumn name="Character representation (elaborate in the next section if you can!)" id="6"/>
    <tableColumn name="Tell us more about the characters! (optional)" id="7"/>
    <tableColumn name="Point of View (optional)" id="8"/>
    <tableColumn name="Subgenres- Select at least one, or as many as apply" id="9"/>
    <tableColumn name="Tropes/Features- Select at least one, as many as ten" id="10"/>
    <tableColumn name="Location/Setting" id="11"/>
    <tableColumn name="Steam Level (optional but useful)" id="12"/>
    <tableColumn name="Details of Sex, Kinks, and Fetish" id="13"/>
    <tableColumn name="Part of a Series? (optional)" id="14"/>
    <tableColumn name="Series Name and Book # (if applicable) eg; Lugubrious Dukes book #2" id="15"/>
    <tableColumn name="The story made me: (optional, check as many as you want)" id="16"/>
    <tableColumn name="Content Warnings? (optional but helpful) eg; assault, dubious consent" id="17"/>
  </tableColumns>
  <tableStyleInfo name="Sheet2-style" showColumnStripes="0" showFirstColumn="1" showLastColumn="1" showRowStripes="1"/>
</table>
</file>

<file path=xl/tables/table2.xml><?xml version="1.0" encoding="utf-8"?>
<table xmlns="http://schemas.openxmlformats.org/spreadsheetml/2006/main" ref="R1:R999" displayName="Table_2" name="Table_2" id="2">
  <tableColumns count="1">
    <tableColumn name="Audiobook included with KU?" id="1"/>
  </tableColumns>
  <tableStyleInfo name="Sheet2-style 2" showColumnStripes="0" showFirstColumn="1" showLastColumn="1" showRowStripes="1"/>
</table>
</file>

<file path=xl/tables/table3.xml><?xml version="1.0" encoding="utf-8"?>
<table xmlns="http://schemas.openxmlformats.org/spreadsheetml/2006/main" ref="S1:S999" displayName="Table_3" name="Table_3" id="3">
  <tableColumns count="1">
    <tableColumn name="Goodreads Link? (not required but will bring you good karma!)" id="1"/>
  </tableColumns>
  <tableStyleInfo name="Sheet2-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dreads.com/book/show/17264796" TargetMode="External"/><Relationship Id="rId190" Type="http://schemas.openxmlformats.org/officeDocument/2006/relationships/hyperlink" Target="https://www.goodreads.com/book/show/51578713-virgin-flyer" TargetMode="External"/><Relationship Id="rId42" Type="http://schemas.openxmlformats.org/officeDocument/2006/relationships/hyperlink" Target="https://www.goodreads.com/book/show/49826643" TargetMode="External"/><Relationship Id="rId41" Type="http://schemas.openxmlformats.org/officeDocument/2006/relationships/hyperlink" Target="https://www.goodreads.com/book/show/42832526-storm" TargetMode="External"/><Relationship Id="rId44" Type="http://schemas.openxmlformats.org/officeDocument/2006/relationships/hyperlink" Target="https://www.goodreads.com/book/show/60476072-shall-we-dance" TargetMode="External"/><Relationship Id="rId194" Type="http://schemas.openxmlformats.org/officeDocument/2006/relationships/hyperlink" Target="https://www.goodreads.com/book/show/44178049-rock-bottom-girl" TargetMode="External"/><Relationship Id="rId43" Type="http://schemas.openxmlformats.org/officeDocument/2006/relationships/hyperlink" Target="https://www.goodreads.com/book/show/59088440-fall-into-you" TargetMode="External"/><Relationship Id="rId193" Type="http://schemas.openxmlformats.org/officeDocument/2006/relationships/hyperlink" Target="https://www.goodreads.com/book/show/55029958-riley-thorn-and-the-dead-guy-next-door" TargetMode="External"/><Relationship Id="rId46" Type="http://schemas.openxmlformats.org/officeDocument/2006/relationships/hyperlink" Target="https://www.amazon.com/gp/product/B086HW5S41" TargetMode="External"/><Relationship Id="rId192" Type="http://schemas.openxmlformats.org/officeDocument/2006/relationships/hyperlink" Target="https://www.goodreads.com/book/show/50350996-protecting-what-s-mine" TargetMode="External"/><Relationship Id="rId45" Type="http://schemas.openxmlformats.org/officeDocument/2006/relationships/hyperlink" Target="https://www.goodreads.com/book/show/197891098-second-chance-snowmance" TargetMode="External"/><Relationship Id="rId191" Type="http://schemas.openxmlformats.org/officeDocument/2006/relationships/hyperlink" Target="https://www.goodreads.com/book/show/48677178-by-a-thread" TargetMode="External"/><Relationship Id="rId48" Type="http://schemas.openxmlformats.org/officeDocument/2006/relationships/hyperlink" Target="https://www.goodreads.com/book/show/61068937-dark-siren" TargetMode="External"/><Relationship Id="rId187" Type="http://schemas.openxmlformats.org/officeDocument/2006/relationships/hyperlink" Target="https://www.goodreads.com/book/show/693016.Mine_Till_Midnight" TargetMode="External"/><Relationship Id="rId47" Type="http://schemas.openxmlformats.org/officeDocument/2006/relationships/hyperlink" Target="https://www.goodreads.com/book/show/61068937-dark-siren" TargetMode="External"/><Relationship Id="rId186" Type="http://schemas.openxmlformats.org/officeDocument/2006/relationships/hyperlink" Target="https://www.goodreads.com/book/show/36228345-the-richmond-thief" TargetMode="External"/><Relationship Id="rId185" Type="http://schemas.openxmlformats.org/officeDocument/2006/relationships/hyperlink" Target="https://www.goodreads.com/book/show/51474324-sinister-magic" TargetMode="External"/><Relationship Id="rId49" Type="http://schemas.openxmlformats.org/officeDocument/2006/relationships/hyperlink" Target="https://www.goodreads.com/book/show/17609278-wicked-ugly-bad" TargetMode="External"/><Relationship Id="rId184" Type="http://schemas.openxmlformats.org/officeDocument/2006/relationships/hyperlink" Target="https://www.goodreads.com/book/show/61068802-the-agent-and-the-outlaw?ac=1&amp;from_search=true&amp;qid=hS6gPI0U4p&amp;rank=1" TargetMode="External"/><Relationship Id="rId189" Type="http://schemas.openxmlformats.org/officeDocument/2006/relationships/hyperlink" Target="https://www.amazon.com/gp/product/B0052DN2YG" TargetMode="External"/><Relationship Id="rId188" Type="http://schemas.openxmlformats.org/officeDocument/2006/relationships/hyperlink" Target="https://www.goodreads.com/book/show/61213995-court-of-blood-and-bindings" TargetMode="External"/><Relationship Id="rId31" Type="http://schemas.openxmlformats.org/officeDocument/2006/relationships/hyperlink" Target="https://www.goodreads.com/book/show/58415536-broken-records" TargetMode="External"/><Relationship Id="rId30" Type="http://schemas.openxmlformats.org/officeDocument/2006/relationships/hyperlink" Target="https://www.goodreads.com/book/show/60682598" TargetMode="External"/><Relationship Id="rId33" Type="http://schemas.openxmlformats.org/officeDocument/2006/relationships/hyperlink" Target="https://www.goodreads.com/book/show/55747432" TargetMode="External"/><Relationship Id="rId183" Type="http://schemas.openxmlformats.org/officeDocument/2006/relationships/hyperlink" Target="https://www.goodreads.com/book/show/58722474-the-assassin-and-the-libertine?ac=1&amp;from_search=true&amp;qid=HPHLwMQmvL&amp;rank=1" TargetMode="External"/><Relationship Id="rId32" Type="http://schemas.openxmlformats.org/officeDocument/2006/relationships/hyperlink" Target="https://www.goodreads.com/book/show/53189351" TargetMode="External"/><Relationship Id="rId182" Type="http://schemas.openxmlformats.org/officeDocument/2006/relationships/hyperlink" Target="https://www.goodreads.com/book/show/42840413" TargetMode="External"/><Relationship Id="rId35" Type="http://schemas.openxmlformats.org/officeDocument/2006/relationships/hyperlink" Target="https://www.goodreads.com/book/show/24285685-breaking-even" TargetMode="External"/><Relationship Id="rId181" Type="http://schemas.openxmlformats.org/officeDocument/2006/relationships/hyperlink" Target="https://www.goodreads.com/book/show/175404367-berries-and-greed" TargetMode="External"/><Relationship Id="rId34" Type="http://schemas.openxmlformats.org/officeDocument/2006/relationships/hyperlink" Target="https://www.goodreads.com/book/show/58678992-morning-glory-milking-farm" TargetMode="External"/><Relationship Id="rId180" Type="http://schemas.openxmlformats.org/officeDocument/2006/relationships/hyperlink" Target="https://www.goodreads.com/book/show/58114709" TargetMode="External"/><Relationship Id="rId37" Type="http://schemas.openxmlformats.org/officeDocument/2006/relationships/hyperlink" Target="https://www.goodreads.com/book/show/62856402-two-for-tea" TargetMode="External"/><Relationship Id="rId176" Type="http://schemas.openxmlformats.org/officeDocument/2006/relationships/hyperlink" Target="https://www.goodreads.com/book/show/50489397-a-cowboy-in-essex" TargetMode="External"/><Relationship Id="rId297" Type="http://schemas.openxmlformats.org/officeDocument/2006/relationships/hyperlink" Target="https://www.goodreads.com/book/show/35449785-the-alien-s-lover" TargetMode="External"/><Relationship Id="rId36" Type="http://schemas.openxmlformats.org/officeDocument/2006/relationships/hyperlink" Target="https://www.goodreads.com/book/show/44649884-filthy-rich-boys" TargetMode="External"/><Relationship Id="rId175" Type="http://schemas.openxmlformats.org/officeDocument/2006/relationships/hyperlink" Target="https://www.goodreads.com/book/show/34452618-mister-romance" TargetMode="External"/><Relationship Id="rId296" Type="http://schemas.openxmlformats.org/officeDocument/2006/relationships/hyperlink" Target="https://www.goodreads.com/book/show/49610915-claimed-by-the-horde-king" TargetMode="External"/><Relationship Id="rId39" Type="http://schemas.openxmlformats.org/officeDocument/2006/relationships/hyperlink" Target="https://www.goodreads.com/book/show/48715915-the-guy-in-the-window" TargetMode="External"/><Relationship Id="rId174" Type="http://schemas.openxmlformats.org/officeDocument/2006/relationships/hyperlink" Target="https://www.goodreads.com/book/show/221108786-shared-hearts?from_search=true&amp;from_srp=true&amp;qid=Cc3hmxeDjM&amp;rank=1" TargetMode="External"/><Relationship Id="rId295" Type="http://schemas.openxmlformats.org/officeDocument/2006/relationships/hyperlink" Target="https://www.goodreads.com/book/show/51035732-just-for-a-while" TargetMode="External"/><Relationship Id="rId38" Type="http://schemas.openxmlformats.org/officeDocument/2006/relationships/hyperlink" Target="https://www.goodreads.com/book/show/48552218-kept-by-monsters" TargetMode="External"/><Relationship Id="rId173" Type="http://schemas.openxmlformats.org/officeDocument/2006/relationships/hyperlink" Target="https://www.goodreads.com/book/show/213860478-guarded-by-the-phantom" TargetMode="External"/><Relationship Id="rId294" Type="http://schemas.openxmlformats.org/officeDocument/2006/relationships/hyperlink" Target="https://www.goodreads.com/book/show/56932944-homewrecker" TargetMode="External"/><Relationship Id="rId179" Type="http://schemas.openxmlformats.org/officeDocument/2006/relationships/hyperlink" Target="https://www.goodreads.com/book/show/55532233-three-of-hearts" TargetMode="External"/><Relationship Id="rId178" Type="http://schemas.openxmlformats.org/officeDocument/2006/relationships/hyperlink" Target="https://www.goodreads.com/book/show/59116203-deceived-by-the-gargoyles" TargetMode="External"/><Relationship Id="rId299" Type="http://schemas.openxmlformats.org/officeDocument/2006/relationships/hyperlink" Target="https://www.goodreads.com/book/show/194856118-like-you-hate-me" TargetMode="External"/><Relationship Id="rId177" Type="http://schemas.openxmlformats.org/officeDocument/2006/relationships/hyperlink" Target="https://www.goodreads.com/book/show/61199573-meet-me-halfway" TargetMode="External"/><Relationship Id="rId298" Type="http://schemas.openxmlformats.org/officeDocument/2006/relationships/hyperlink" Target="https://www.goodreads.com/book/show/78641186-time-to-shine" TargetMode="External"/><Relationship Id="rId20" Type="http://schemas.openxmlformats.org/officeDocument/2006/relationships/hyperlink" Target="https://www.goodreads.com/en/book/show/40052412" TargetMode="External"/><Relationship Id="rId22" Type="http://schemas.openxmlformats.org/officeDocument/2006/relationships/hyperlink" Target="https://www.goodreads.com/book/show/51616063-lady-edith-s-lonely-heart" TargetMode="External"/><Relationship Id="rId21" Type="http://schemas.openxmlformats.org/officeDocument/2006/relationships/hyperlink" Target="https://www.goodreads.com/book/show/63112074-the-marriage-auction" TargetMode="External"/><Relationship Id="rId24" Type="http://schemas.openxmlformats.org/officeDocument/2006/relationships/hyperlink" Target="https://www.goodreads.com/book/show/203042941-spearcrest-devil" TargetMode="External"/><Relationship Id="rId23" Type="http://schemas.openxmlformats.org/officeDocument/2006/relationships/hyperlink" Target="https://www.goodreads.com/book/show/28008070-the-captain-s-wallflower" TargetMode="External"/><Relationship Id="rId26" Type="http://schemas.openxmlformats.org/officeDocument/2006/relationships/hyperlink" Target="https://www.goodreads.com/book/show/52614279-when-darkness-comes" TargetMode="External"/><Relationship Id="rId25" Type="http://schemas.openxmlformats.org/officeDocument/2006/relationships/hyperlink" Target="https://www.goodreads.com/en/book/show/199345368" TargetMode="External"/><Relationship Id="rId28" Type="http://schemas.openxmlformats.org/officeDocument/2006/relationships/hyperlink" Target="https://www.goodreads.com/book/show/84262813" TargetMode="External"/><Relationship Id="rId27" Type="http://schemas.openxmlformats.org/officeDocument/2006/relationships/hyperlink" Target="https://www.goodreads.com/book/show/208457093-fall-with-me" TargetMode="External"/><Relationship Id="rId29" Type="http://schemas.openxmlformats.org/officeDocument/2006/relationships/hyperlink" Target="https://www.goodreads.com/book/show/27131389-lev" TargetMode="External"/><Relationship Id="rId11" Type="http://schemas.openxmlformats.org/officeDocument/2006/relationships/hyperlink" Target="https://www.goodreads.com/book/show/63231447-into-the-north?ac=1&amp;from_search=true&amp;qid=LRhuOEMkdi&amp;rank=3" TargetMode="External"/><Relationship Id="rId10" Type="http://schemas.openxmlformats.org/officeDocument/2006/relationships/hyperlink" Target="https://www.goodreads.com/book/show/53491945-to-desire-a-dragon" TargetMode="External"/><Relationship Id="rId13" Type="http://schemas.openxmlformats.org/officeDocument/2006/relationships/hyperlink" Target="https://www.goodreads.com/book/show/52602989-blindsided" TargetMode="External"/><Relationship Id="rId12" Type="http://schemas.openxmlformats.org/officeDocument/2006/relationships/hyperlink" Target="https://www.goodreads.com/book/show/40846776-flip-trick" TargetMode="External"/><Relationship Id="rId15" Type="http://schemas.openxmlformats.org/officeDocument/2006/relationships/hyperlink" Target="https://www.goodreads.com/book/show/56986379-lords-of-pain?from_search=true&amp;from_srp=true&amp;qid=HdL9YJtnoZ&amp;rank=1" TargetMode="External"/><Relationship Id="rId198" Type="http://schemas.openxmlformats.org/officeDocument/2006/relationships/hyperlink" Target="https://www.goodreads.com/book/show/41059130-prince-of-cahraman" TargetMode="External"/><Relationship Id="rId14" Type="http://schemas.openxmlformats.org/officeDocument/2006/relationships/hyperlink" Target="https://www.goodreads.com/book/show/40407141-what-the-wind-knows" TargetMode="External"/><Relationship Id="rId197" Type="http://schemas.openxmlformats.org/officeDocument/2006/relationships/hyperlink" Target="https://www.goodreads.com/book/show/40933577-thief-of-cahraman" TargetMode="External"/><Relationship Id="rId17" Type="http://schemas.openxmlformats.org/officeDocument/2006/relationships/hyperlink" Target="https://www.goodreads.com/book/show/44932446-taming-demons-for-beginners" TargetMode="External"/><Relationship Id="rId196" Type="http://schemas.openxmlformats.org/officeDocument/2006/relationships/hyperlink" Target="https://www.goodreads.com/book/show/39693841-whiskey-chaser" TargetMode="External"/><Relationship Id="rId16" Type="http://schemas.openxmlformats.org/officeDocument/2006/relationships/hyperlink" Target="https://www.goodreads.com/book/show/43483442-love-is-blind" TargetMode="External"/><Relationship Id="rId195" Type="http://schemas.openxmlformats.org/officeDocument/2006/relationships/hyperlink" Target="https://www.goodreads.com/book/show/51079724-the-price-of-scandal" TargetMode="External"/><Relationship Id="rId19" Type="http://schemas.openxmlformats.org/officeDocument/2006/relationships/hyperlink" Target="https://www.goodreads.com/book/show/50776910-faking-under-the-mistletoe" TargetMode="External"/><Relationship Id="rId18" Type="http://schemas.openxmlformats.org/officeDocument/2006/relationships/hyperlink" Target="https://www.goodreads.com/book/show/33267481-leo-loves-aries" TargetMode="External"/><Relationship Id="rId199" Type="http://schemas.openxmlformats.org/officeDocument/2006/relationships/hyperlink" Target="https://www.goodreads.com/book/show/42651348-queen-of-cahraman" TargetMode="External"/><Relationship Id="rId84" Type="http://schemas.openxmlformats.org/officeDocument/2006/relationships/hyperlink" Target="https://www.goodreads.com/book/show/119252474-fierce-dancer" TargetMode="External"/><Relationship Id="rId83" Type="http://schemas.openxmlformats.org/officeDocument/2006/relationships/hyperlink" Target="https://www.goodreads.com/book/show/122569261-the-witch-s-wolf" TargetMode="External"/><Relationship Id="rId86" Type="http://schemas.openxmlformats.org/officeDocument/2006/relationships/hyperlink" Target="https://www.goodreads.com/book/show/42608724-mount-mercy" TargetMode="External"/><Relationship Id="rId85" Type="http://schemas.openxmlformats.org/officeDocument/2006/relationships/hyperlink" Target="https://www.goodreads.com/book/show/33718834-alaska-wild" TargetMode="External"/><Relationship Id="rId88" Type="http://schemas.openxmlformats.org/officeDocument/2006/relationships/hyperlink" Target="https://www.goodreads.com/book/show/54837552-into-the-arms-of-the-storm" TargetMode="External"/><Relationship Id="rId150" Type="http://schemas.openxmlformats.org/officeDocument/2006/relationships/hyperlink" Target="https://www.goodreads.com/book/show/15830843-beyond-shame?ac=1&amp;from_search=true&amp;qid=O1i4u9DkLI&amp;rank=1" TargetMode="External"/><Relationship Id="rId271" Type="http://schemas.openxmlformats.org/officeDocument/2006/relationships/hyperlink" Target="https://www.goodreads.com/book/show/122751961-the-wrong-mr-right" TargetMode="External"/><Relationship Id="rId87" Type="http://schemas.openxmlformats.org/officeDocument/2006/relationships/hyperlink" Target="https://www.goodreads.com/book/show/32725923-outlaw-s-promise?from_search=true&amp;from_srp=true&amp;qid=FnYaD9uaJH&amp;rank=1" TargetMode="External"/><Relationship Id="rId270" Type="http://schemas.openxmlformats.org/officeDocument/2006/relationships/hyperlink" Target="https://www.goodreads.com/book/show/122751954-that-kind-of-guy" TargetMode="External"/><Relationship Id="rId89" Type="http://schemas.openxmlformats.org/officeDocument/2006/relationships/hyperlink" Target="https://www.goodreads.com/book/show/196182641-the-amish-alibi" TargetMode="External"/><Relationship Id="rId80" Type="http://schemas.openxmlformats.org/officeDocument/2006/relationships/hyperlink" Target="https://www.goodreads.com/book/show/25421052-how-to-save-an-undead-life" TargetMode="External"/><Relationship Id="rId82" Type="http://schemas.openxmlformats.org/officeDocument/2006/relationships/hyperlink" Target="https://www.goodreads.com/book/show/61594456-cold-hearted" TargetMode="External"/><Relationship Id="rId81" Type="http://schemas.openxmlformats.org/officeDocument/2006/relationships/hyperlink" Target="https://www.goodreads.com/book/show/123258719-wrong-for-you" TargetMode="External"/><Relationship Id="rId1" Type="http://schemas.openxmlformats.org/officeDocument/2006/relationships/comments" Target="../comments1.xml"/><Relationship Id="rId2" Type="http://schemas.openxmlformats.org/officeDocument/2006/relationships/hyperlink" Target="https://www.goodreads.com/book/show/41838393-the-lord-of-stariel" TargetMode="External"/><Relationship Id="rId3" Type="http://schemas.openxmlformats.org/officeDocument/2006/relationships/hyperlink" Target="https://www.goodreads.com/book/show/124941950-becoming" TargetMode="External"/><Relationship Id="rId149" Type="http://schemas.openxmlformats.org/officeDocument/2006/relationships/hyperlink" Target="https://www.goodreads.com/book/show/123521649-consort-of-fire?ref=nav_sb_ss_1_15" TargetMode="External"/><Relationship Id="rId4" Type="http://schemas.openxmlformats.org/officeDocument/2006/relationships/hyperlink" Target="https://www.goodreads.com/book/show/59339420-initiation" TargetMode="External"/><Relationship Id="rId148" Type="http://schemas.openxmlformats.org/officeDocument/2006/relationships/hyperlink" Target="https://www.goodreads.com/book/show/60114483-passion-s-liberation" TargetMode="External"/><Relationship Id="rId269" Type="http://schemas.openxmlformats.org/officeDocument/2006/relationships/hyperlink" Target="https://www.goodreads.com/book/show/32607703-ex-games" TargetMode="External"/><Relationship Id="rId9" Type="http://schemas.openxmlformats.org/officeDocument/2006/relationships/hyperlink" Target="https://www.goodreads.com/book/show/43194302-the-alien-nanny-for-christmas" TargetMode="External"/><Relationship Id="rId143" Type="http://schemas.openxmlformats.org/officeDocument/2006/relationships/hyperlink" Target="https://www.goodreads.com/book/show/61091344" TargetMode="External"/><Relationship Id="rId264" Type="http://schemas.openxmlformats.org/officeDocument/2006/relationships/hyperlink" Target="https://www.goodreads.com/book/show/59867218" TargetMode="External"/><Relationship Id="rId142" Type="http://schemas.openxmlformats.org/officeDocument/2006/relationships/hyperlink" Target="https://www.goodreads.com/en/book/show/61968684" TargetMode="External"/><Relationship Id="rId263" Type="http://schemas.openxmlformats.org/officeDocument/2006/relationships/hyperlink" Target="https://www.goodreads.com/book/show/59990438-the-replacements" TargetMode="External"/><Relationship Id="rId141" Type="http://schemas.openxmlformats.org/officeDocument/2006/relationships/hyperlink" Target="https://www.goodreads.com/book/show/55453297" TargetMode="External"/><Relationship Id="rId262" Type="http://schemas.openxmlformats.org/officeDocument/2006/relationships/hyperlink" Target="https://www.goodreads.com/book/show/55215339-a-touch-of-darkness" TargetMode="External"/><Relationship Id="rId140" Type="http://schemas.openxmlformats.org/officeDocument/2006/relationships/hyperlink" Target="https://www.goodreads.com/book/show/58724944-a-rip-through-time" TargetMode="External"/><Relationship Id="rId261" Type="http://schemas.openxmlformats.org/officeDocument/2006/relationships/hyperlink" Target="https://www.goodreads.com/book/show/8471815-you-don-t-have-to-say-you-love-me" TargetMode="External"/><Relationship Id="rId5" Type="http://schemas.openxmlformats.org/officeDocument/2006/relationships/hyperlink" Target="https://www.goodreads.com/book/show/13580846-my-life-with-the-walter-boys" TargetMode="External"/><Relationship Id="rId147" Type="http://schemas.openxmlformats.org/officeDocument/2006/relationships/hyperlink" Target="https://www.goodreads.com/book/show/48675635-all-i-want-for-christmas" TargetMode="External"/><Relationship Id="rId268" Type="http://schemas.openxmlformats.org/officeDocument/2006/relationships/hyperlink" Target="https://www.goodreads.com/book/show/52905826-a-rogue-in-the-making?from_search=true&amp;from_srp=true&amp;qid=3dPNxsv14g&amp;rank=16" TargetMode="External"/><Relationship Id="rId6" Type="http://schemas.openxmlformats.org/officeDocument/2006/relationships/hyperlink" Target="https://www.goodreads.com/book/show/36103790-her-baseborn-bridegroom" TargetMode="External"/><Relationship Id="rId146" Type="http://schemas.openxmlformats.org/officeDocument/2006/relationships/hyperlink" Target="https://www.goodreads.com/book/show/50702585-master-of-salt-bones" TargetMode="External"/><Relationship Id="rId267" Type="http://schemas.openxmlformats.org/officeDocument/2006/relationships/hyperlink" Target="https://www.goodreads.com/book/show/122779502-a-court-this-cruel-and-lovely" TargetMode="External"/><Relationship Id="rId7" Type="http://schemas.openxmlformats.org/officeDocument/2006/relationships/hyperlink" Target="https://www.goodreads.com/en/book/show/60022022-honestly-i-m-totally-faking-it" TargetMode="External"/><Relationship Id="rId145" Type="http://schemas.openxmlformats.org/officeDocument/2006/relationships/hyperlink" Target="https://www.goodreads.com/book/show/45024651-the-kingmaker" TargetMode="External"/><Relationship Id="rId266" Type="http://schemas.openxmlformats.org/officeDocument/2006/relationships/hyperlink" Target="https://www.goodreads.com/book/show/48766474-coffee-girl" TargetMode="External"/><Relationship Id="rId8" Type="http://schemas.openxmlformats.org/officeDocument/2006/relationships/hyperlink" Target="https://www.goodreads.com/book/show/48567611-contagion" TargetMode="External"/><Relationship Id="rId144" Type="http://schemas.openxmlformats.org/officeDocument/2006/relationships/hyperlink" Target="https://www.goodreads.com/book/show/41746595-block-shot" TargetMode="External"/><Relationship Id="rId265" Type="http://schemas.openxmlformats.org/officeDocument/2006/relationships/hyperlink" Target="https://www.goodreads.com/book/show/56677934-gurpreet-and-the-wrong-twin" TargetMode="External"/><Relationship Id="rId73" Type="http://schemas.openxmlformats.org/officeDocument/2006/relationships/hyperlink" Target="https://www.goodreads.com/book/show/59332168-a-walrus-a-gentleman" TargetMode="External"/><Relationship Id="rId72" Type="http://schemas.openxmlformats.org/officeDocument/2006/relationships/hyperlink" Target="https://www.goodreads.com/book/show/40280900-flaming-june" TargetMode="External"/><Relationship Id="rId75" Type="http://schemas.openxmlformats.org/officeDocument/2006/relationships/hyperlink" Target="https://www.goodreads.com/book/show/63327305-let-your-hearts-be-light?ref=nav_sb_ss_1_24" TargetMode="External"/><Relationship Id="rId74" Type="http://schemas.openxmlformats.org/officeDocument/2006/relationships/hyperlink" Target="https://www.goodreads.com/book/show/63896353-ship-it?ac=1&amp;from_search=true&amp;qid=IxZ7IYyJFk&amp;rank=1" TargetMode="External"/><Relationship Id="rId77" Type="http://schemas.openxmlformats.org/officeDocument/2006/relationships/hyperlink" Target="https://www.goodreads.com/book/show/61311029-the-governess-and-the-orc" TargetMode="External"/><Relationship Id="rId260" Type="http://schemas.openxmlformats.org/officeDocument/2006/relationships/hyperlink" Target="https://www.goodreads.com/book/show/63292425-the-understatement-of-the-year" TargetMode="External"/><Relationship Id="rId76" Type="http://schemas.openxmlformats.org/officeDocument/2006/relationships/hyperlink" Target="https://www.goodreads.com/book/show/61993247" TargetMode="External"/><Relationship Id="rId79" Type="http://schemas.openxmlformats.org/officeDocument/2006/relationships/hyperlink" Target="https://www.goodreads.com/book/show/41033347-bloody-sunrise" TargetMode="External"/><Relationship Id="rId78" Type="http://schemas.openxmlformats.org/officeDocument/2006/relationships/hyperlink" Target="https://www.goodreads.com/book/show/53581106-the-librarian-and-the-orc" TargetMode="External"/><Relationship Id="rId71" Type="http://schemas.openxmlformats.org/officeDocument/2006/relationships/hyperlink" Target="https://www.goodreads.com/book/show/25814647-rush" TargetMode="External"/><Relationship Id="rId70" Type="http://schemas.openxmlformats.org/officeDocument/2006/relationships/hyperlink" Target="https://www.goodreads.com/book/show/41450826-someday-someday" TargetMode="External"/><Relationship Id="rId139" Type="http://schemas.openxmlformats.org/officeDocument/2006/relationships/hyperlink" Target="https://www.goodreads.com/book/show/60586540-reject-me" TargetMode="External"/><Relationship Id="rId138" Type="http://schemas.openxmlformats.org/officeDocument/2006/relationships/hyperlink" Target="https://www.goodreads.com/book/show/41959108-honeymoon-for-one" TargetMode="External"/><Relationship Id="rId259" Type="http://schemas.openxmlformats.org/officeDocument/2006/relationships/hyperlink" Target="https://www.goodreads.com/book/show/63066942-a-manny-for-christmas?from_search=true&amp;from_srp=true&amp;qid=eUNbtQdojq&amp;rank=1" TargetMode="External"/><Relationship Id="rId137" Type="http://schemas.openxmlformats.org/officeDocument/2006/relationships/hyperlink" Target="https://www.goodreads.com/book/show/36436294-kidnapped-by-the-pirate" TargetMode="External"/><Relationship Id="rId258" Type="http://schemas.openxmlformats.org/officeDocument/2006/relationships/hyperlink" Target="https://www.goodreads.com/book/show/208503278-keep-me" TargetMode="External"/><Relationship Id="rId132" Type="http://schemas.openxmlformats.org/officeDocument/2006/relationships/hyperlink" Target="https://www.goodreads.com/book/show/61405436-hurricane-ryan" TargetMode="External"/><Relationship Id="rId253" Type="http://schemas.openxmlformats.org/officeDocument/2006/relationships/hyperlink" Target="https://www.goodreads.com/book/show/17750250-animate-me" TargetMode="External"/><Relationship Id="rId131" Type="http://schemas.openxmlformats.org/officeDocument/2006/relationships/hyperlink" Target="https://www.goodreads.com/book/show/25880375-hold-your-breath" TargetMode="External"/><Relationship Id="rId252" Type="http://schemas.openxmlformats.org/officeDocument/2006/relationships/hyperlink" Target="https://www.goodreads.com/book/show/58189829-worse-guy" TargetMode="External"/><Relationship Id="rId130" Type="http://schemas.openxmlformats.org/officeDocument/2006/relationships/hyperlink" Target="https://www.goodreads.com/book/show/51786773-behind-the-veil" TargetMode="External"/><Relationship Id="rId251" Type="http://schemas.openxmlformats.org/officeDocument/2006/relationships/hyperlink" Target="https://www.goodreads.com/book/show/25128811-ice-planet-barbarians" TargetMode="External"/><Relationship Id="rId250" Type="http://schemas.openxmlformats.org/officeDocument/2006/relationships/hyperlink" Target="https://www.goodreads.com/book/show/50841330-bound-to-the-battle-god" TargetMode="External"/><Relationship Id="rId136" Type="http://schemas.openxmlformats.org/officeDocument/2006/relationships/hyperlink" Target="https://www.goodreads.com/book/show/49207142-sleeper" TargetMode="External"/><Relationship Id="rId257" Type="http://schemas.openxmlformats.org/officeDocument/2006/relationships/hyperlink" Target="https://www.goodreads.com/book/show/55529084" TargetMode="External"/><Relationship Id="rId135" Type="http://schemas.openxmlformats.org/officeDocument/2006/relationships/hyperlink" Target="https://www.goodreads.com/book/show/43899242-come-back-to-bed" TargetMode="External"/><Relationship Id="rId256" Type="http://schemas.openxmlformats.org/officeDocument/2006/relationships/hyperlink" Target="https://www.goodreads.com/book/show/42403496-queen-of-klutz" TargetMode="External"/><Relationship Id="rId134" Type="http://schemas.openxmlformats.org/officeDocument/2006/relationships/hyperlink" Target="https://www.goodreads.com/book/show/54959891-a-very-bossy-christmas" TargetMode="External"/><Relationship Id="rId255" Type="http://schemas.openxmlformats.org/officeDocument/2006/relationships/hyperlink" Target="https://www.goodreads.com/series/312397-sleet" TargetMode="External"/><Relationship Id="rId133" Type="http://schemas.openxmlformats.org/officeDocument/2006/relationships/hyperlink" Target="https://www.goodreads.com/en/book/show/58087471" TargetMode="External"/><Relationship Id="rId254" Type="http://schemas.openxmlformats.org/officeDocument/2006/relationships/hyperlink" Target="https://www.goodreads.com/book/show/52231217-broken-earth" TargetMode="External"/><Relationship Id="rId62" Type="http://schemas.openxmlformats.org/officeDocument/2006/relationships/hyperlink" Target="https://www.goodreads.com/book/show/60062931-the-devil-you-know" TargetMode="External"/><Relationship Id="rId61" Type="http://schemas.openxmlformats.org/officeDocument/2006/relationships/hyperlink" Target="https://www.goodreads.com/book/show/27865167-within-her-words" TargetMode="External"/><Relationship Id="rId64" Type="http://schemas.openxmlformats.org/officeDocument/2006/relationships/hyperlink" Target="https://www.goodreads.com/book/show/39880512-the-hardest-fall" TargetMode="External"/><Relationship Id="rId63" Type="http://schemas.openxmlformats.org/officeDocument/2006/relationships/hyperlink" Target="https://www.goodreads.com/book/show/51157394-a-king-so-cold" TargetMode="External"/><Relationship Id="rId66" Type="http://schemas.openxmlformats.org/officeDocument/2006/relationships/hyperlink" Target="https://www.goodreads.com/book/show/20979029-artistic-license" TargetMode="External"/><Relationship Id="rId172" Type="http://schemas.openxmlformats.org/officeDocument/2006/relationships/hyperlink" Target="https://www.goodreads.com/book/show/202289210-guarded-by-the-snake" TargetMode="External"/><Relationship Id="rId293" Type="http://schemas.openxmlformats.org/officeDocument/2006/relationships/hyperlink" Target="https://www.goodreads.com/book/show/62126935-surrendering-to-scylla" TargetMode="External"/><Relationship Id="rId65" Type="http://schemas.openxmlformats.org/officeDocument/2006/relationships/hyperlink" Target="https://www.goodreads.com/book/show/45694898-marriage-for-one" TargetMode="External"/><Relationship Id="rId171" Type="http://schemas.openxmlformats.org/officeDocument/2006/relationships/hyperlink" Target="https://www.goodreads.com/book/show/30200464-ball-peen-hammer" TargetMode="External"/><Relationship Id="rId292" Type="http://schemas.openxmlformats.org/officeDocument/2006/relationships/hyperlink" Target="https://www.goodreads.com/book/show/52850847-the-best-man" TargetMode="External"/><Relationship Id="rId68" Type="http://schemas.openxmlformats.org/officeDocument/2006/relationships/hyperlink" Target="https://www.goodreads.com/book/show/36318640-an-earl-in-wolf-s-clothing" TargetMode="External"/><Relationship Id="rId170" Type="http://schemas.openxmlformats.org/officeDocument/2006/relationships/hyperlink" Target="https://www.goodreads.com/en/book/show/32841117-huge-deal" TargetMode="External"/><Relationship Id="rId291" Type="http://schemas.openxmlformats.org/officeDocument/2006/relationships/hyperlink" Target="https://www.goodreads.com/book/show/124965496-claimed-by-the-cthulhu" TargetMode="External"/><Relationship Id="rId67" Type="http://schemas.openxmlformats.org/officeDocument/2006/relationships/hyperlink" Target="https://www.goodreads.com/book/show/60755618-flawless" TargetMode="External"/><Relationship Id="rId290" Type="http://schemas.openxmlformats.org/officeDocument/2006/relationships/hyperlink" Target="https://www.goodreads.com/book/show/51479476" TargetMode="External"/><Relationship Id="rId60" Type="http://schemas.openxmlformats.org/officeDocument/2006/relationships/hyperlink" Target="https://www.goodreads.com/book/show/55626358-a-deal-with-the-elf-king" TargetMode="External"/><Relationship Id="rId165" Type="http://schemas.openxmlformats.org/officeDocument/2006/relationships/hyperlink" Target="https://www.goodreads.com/book/show/41831210-pestilence" TargetMode="External"/><Relationship Id="rId286" Type="http://schemas.openxmlformats.org/officeDocument/2006/relationships/hyperlink" Target="https://www.goodreads.com/book/show/32758410-born-darkly" TargetMode="External"/><Relationship Id="rId69" Type="http://schemas.openxmlformats.org/officeDocument/2006/relationships/hyperlink" Target="https://www.goodreads.com/book/show/43659471-marquess-to-a-flame" TargetMode="External"/><Relationship Id="rId164" Type="http://schemas.openxmlformats.org/officeDocument/2006/relationships/hyperlink" Target="https://www.goodreads.com/book/show/49480530-famine" TargetMode="External"/><Relationship Id="rId285" Type="http://schemas.openxmlformats.org/officeDocument/2006/relationships/hyperlink" Target="https://www.goodreads.com/book/show/202342950-a-major-motion-christmas" TargetMode="External"/><Relationship Id="rId163" Type="http://schemas.openxmlformats.org/officeDocument/2006/relationships/hyperlink" Target="https://www.goodreads.com/book/show/52525171-worth-the-wait" TargetMode="External"/><Relationship Id="rId284" Type="http://schemas.openxmlformats.org/officeDocument/2006/relationships/hyperlink" Target="https://www.goodreads.com/book/show/19822079-the-best-medicine" TargetMode="External"/><Relationship Id="rId162" Type="http://schemas.openxmlformats.org/officeDocument/2006/relationships/hyperlink" Target="https://www.goodreads.com/book/show/52316904-trouble-strife" TargetMode="External"/><Relationship Id="rId283" Type="http://schemas.openxmlformats.org/officeDocument/2006/relationships/hyperlink" Target="https://www.goodreads.com/book/show/15781910-highland-surrender" TargetMode="External"/><Relationship Id="rId169" Type="http://schemas.openxmlformats.org/officeDocument/2006/relationships/hyperlink" Target="https://www.goodreads.com/book/show/86767939" TargetMode="External"/><Relationship Id="rId168" Type="http://schemas.openxmlformats.org/officeDocument/2006/relationships/hyperlink" Target="https://www.goodreads.com/book/show/77267196" TargetMode="External"/><Relationship Id="rId289" Type="http://schemas.openxmlformats.org/officeDocument/2006/relationships/hyperlink" Target="https://www.goodreads.com/book/show/97459787-sweet-vengeance" TargetMode="External"/><Relationship Id="rId167" Type="http://schemas.openxmlformats.org/officeDocument/2006/relationships/hyperlink" Target="https://www.goodreads.com/book/show/53058846-throttled" TargetMode="External"/><Relationship Id="rId288" Type="http://schemas.openxmlformats.org/officeDocument/2006/relationships/hyperlink" Target="https://www.goodreads.com/book/show/33139830-the-e-t-guy" TargetMode="External"/><Relationship Id="rId166" Type="http://schemas.openxmlformats.org/officeDocument/2006/relationships/hyperlink" Target="https://www.goodreads.com/book/show/49390139-war" TargetMode="External"/><Relationship Id="rId287" Type="http://schemas.openxmlformats.org/officeDocument/2006/relationships/hyperlink" Target="https://www.goodreads.com/book/show/25887352-ruth-s-bonded" TargetMode="External"/><Relationship Id="rId51" Type="http://schemas.openxmlformats.org/officeDocument/2006/relationships/hyperlink" Target="https://www.goodreads.com/book/show/59725768-against-a-wall" TargetMode="External"/><Relationship Id="rId50" Type="http://schemas.openxmlformats.org/officeDocument/2006/relationships/hyperlink" Target="https://www.goodreads.com/book/show/51035708-charge" TargetMode="External"/><Relationship Id="rId53" Type="http://schemas.openxmlformats.org/officeDocument/2006/relationships/hyperlink" Target="https://www.goodreads.com/book/show/44788569-the-sea-ain-t-mine-alone?ac=1&amp;from_search=true&amp;qid=EuCtQJ0mqg&amp;rank=1" TargetMode="External"/><Relationship Id="rId52" Type="http://schemas.openxmlformats.org/officeDocument/2006/relationships/hyperlink" Target="https://www.goodreads.com/book/show/218022571-power-play" TargetMode="External"/><Relationship Id="rId55" Type="http://schemas.openxmlformats.org/officeDocument/2006/relationships/hyperlink" Target="https://www.goodreads.com/series/271197-bluewater-billionaires" TargetMode="External"/><Relationship Id="rId161" Type="http://schemas.openxmlformats.org/officeDocument/2006/relationships/hyperlink" Target="https://www.goodreads.com/book/show/50695561-hammer-tongs-chances-limited-book-1" TargetMode="External"/><Relationship Id="rId282" Type="http://schemas.openxmlformats.org/officeDocument/2006/relationships/hyperlink" Target="https://www.goodreads.com/book/show/17204568-crazy-little-thing" TargetMode="External"/><Relationship Id="rId54" Type="http://schemas.openxmlformats.org/officeDocument/2006/relationships/hyperlink" Target="https://www.goodreads.com/book/show/59026826" TargetMode="External"/><Relationship Id="rId160" Type="http://schemas.openxmlformats.org/officeDocument/2006/relationships/hyperlink" Target="https://www.goodreads.com/book/show/53345432-budding-romance" TargetMode="External"/><Relationship Id="rId281" Type="http://schemas.openxmlformats.org/officeDocument/2006/relationships/hyperlink" Target="https://www.goodreads.com/book/show/25630718-heart-shaped-hack" TargetMode="External"/><Relationship Id="rId57" Type="http://schemas.openxmlformats.org/officeDocument/2006/relationships/hyperlink" Target="https://www.goodreads.com/book/show/41432775-soldier-boy" TargetMode="External"/><Relationship Id="rId280" Type="http://schemas.openxmlformats.org/officeDocument/2006/relationships/hyperlink" Target="https://www.goodreads.com/book/show/45701029-teardrop-shot" TargetMode="External"/><Relationship Id="rId56" Type="http://schemas.openxmlformats.org/officeDocument/2006/relationships/hyperlink" Target="https://www.goodreads.com/book/show/169992.All_Through_the_Night" TargetMode="External"/><Relationship Id="rId159" Type="http://schemas.openxmlformats.org/officeDocument/2006/relationships/hyperlink" Target="https://www.goodreads.com/book/show/30839185-vicious" TargetMode="External"/><Relationship Id="rId59" Type="http://schemas.openxmlformats.org/officeDocument/2006/relationships/hyperlink" Target="https://www.goodreads.com/book/show/45303273-ever-yours-annabelle" TargetMode="External"/><Relationship Id="rId154" Type="http://schemas.openxmlformats.org/officeDocument/2006/relationships/hyperlink" Target="https://www.goodreads.com/book/show/125689096-wanted-by-the-alien-rogue" TargetMode="External"/><Relationship Id="rId275" Type="http://schemas.openxmlformats.org/officeDocument/2006/relationships/hyperlink" Target="https://www.goodreads.com/book/show/12156759-bear-otter-and-the-kid" TargetMode="External"/><Relationship Id="rId58" Type="http://schemas.openxmlformats.org/officeDocument/2006/relationships/hyperlink" Target="https://www.goodreads.com/book/show/32920009-merry-christmas-mr-miggles" TargetMode="External"/><Relationship Id="rId153" Type="http://schemas.openxmlformats.org/officeDocument/2006/relationships/hyperlink" Target="https://www.goodreads.com/book/show/122781604-taken-by-the-alien-rogue" TargetMode="External"/><Relationship Id="rId274" Type="http://schemas.openxmlformats.org/officeDocument/2006/relationships/hyperlink" Target="https://www.goodreads.com/book/show/214249697-daydreamer" TargetMode="External"/><Relationship Id="rId152" Type="http://schemas.openxmlformats.org/officeDocument/2006/relationships/hyperlink" Target="https://www.goodreads.com/book/show/81070436-claimed-by-the-alien-rogue" TargetMode="External"/><Relationship Id="rId273" Type="http://schemas.openxmlformats.org/officeDocument/2006/relationships/hyperlink" Target="https://www.goodreads.com/en/book/show/40883639" TargetMode="External"/><Relationship Id="rId151" Type="http://schemas.openxmlformats.org/officeDocument/2006/relationships/hyperlink" Target="https://www.goodreads.com/book/show/54142271-letters-in-the-dark" TargetMode="External"/><Relationship Id="rId272" Type="http://schemas.openxmlformats.org/officeDocument/2006/relationships/hyperlink" Target="https://www.goodreads.com/book/show/122751971-in-your-dreams-holden-rhodes" TargetMode="External"/><Relationship Id="rId158" Type="http://schemas.openxmlformats.org/officeDocument/2006/relationships/hyperlink" Target="https://www.goodreads.com/en/book/show/46038707-the-hunter" TargetMode="External"/><Relationship Id="rId279" Type="http://schemas.openxmlformats.org/officeDocument/2006/relationships/hyperlink" Target="https://www.goodreads.com/book/show/49047293-enemies" TargetMode="External"/><Relationship Id="rId157" Type="http://schemas.openxmlformats.org/officeDocument/2006/relationships/hyperlink" Target="https://www.goodreads.com/book/show/55685450-in-love-and-war" TargetMode="External"/><Relationship Id="rId278" Type="http://schemas.openxmlformats.org/officeDocument/2006/relationships/hyperlink" Target="https://www.goodreads.com/book/show/44222846-bennett-mafia" TargetMode="External"/><Relationship Id="rId156" Type="http://schemas.openxmlformats.org/officeDocument/2006/relationships/hyperlink" Target="https://www.goodreads.com/book/show/206056327-bound-to-the-orc-warlord" TargetMode="External"/><Relationship Id="rId277" Type="http://schemas.openxmlformats.org/officeDocument/2006/relationships/hyperlink" Target="https://www.goodreads.com/book/show/37685787-treasure-of-the-abyss" TargetMode="External"/><Relationship Id="rId155" Type="http://schemas.openxmlformats.org/officeDocument/2006/relationships/hyperlink" Target="https://www.goodreads.com/book/show/163548254-married-to-the-alien-rogue" TargetMode="External"/><Relationship Id="rId276" Type="http://schemas.openxmlformats.org/officeDocument/2006/relationships/hyperlink" Target="https://www.goodreads.com/book/show/61848341-gravity" TargetMode="External"/><Relationship Id="rId107" Type="http://schemas.openxmlformats.org/officeDocument/2006/relationships/hyperlink" Target="https://www.goodreads.com/en/book/show/77602023" TargetMode="External"/><Relationship Id="rId228" Type="http://schemas.openxmlformats.org/officeDocument/2006/relationships/hyperlink" Target="https://www.goodreads.com/book/show/198717640-cruel-paradise" TargetMode="External"/><Relationship Id="rId106" Type="http://schemas.openxmlformats.org/officeDocument/2006/relationships/hyperlink" Target="https://www.goodreads.com/book/show/60192737-pen-pal?ref=nav_sb_ss_1_12" TargetMode="External"/><Relationship Id="rId227" Type="http://schemas.openxmlformats.org/officeDocument/2006/relationships/hyperlink" Target="https://www.goodreads.com/book/show/46201805-stay-with-me" TargetMode="External"/><Relationship Id="rId105" Type="http://schemas.openxmlformats.org/officeDocument/2006/relationships/hyperlink" Target="https://www.goodreads.com/book/show/36600352-eirik" TargetMode="External"/><Relationship Id="rId226" Type="http://schemas.openxmlformats.org/officeDocument/2006/relationships/hyperlink" Target="https://www.goodreads.com/book/show/37916608-shimmy-bang-sparkle" TargetMode="External"/><Relationship Id="rId104" Type="http://schemas.openxmlformats.org/officeDocument/2006/relationships/hyperlink" Target="https://www.goodreads.com/book/show/45038064-the-summer-duke" TargetMode="External"/><Relationship Id="rId225" Type="http://schemas.openxmlformats.org/officeDocument/2006/relationships/hyperlink" Target="https://www.goodreads.com/book/show/40273357-do-you-feel-it-too" TargetMode="External"/><Relationship Id="rId109" Type="http://schemas.openxmlformats.org/officeDocument/2006/relationships/hyperlink" Target="https://www.goodreads.com/book/show/22840237-libertine-s-kiss" TargetMode="External"/><Relationship Id="rId108" Type="http://schemas.openxmlformats.org/officeDocument/2006/relationships/hyperlink" Target="https://www.goodreads.com/book/show/4026396-broken-wing" TargetMode="External"/><Relationship Id="rId229" Type="http://schemas.openxmlformats.org/officeDocument/2006/relationships/hyperlink" Target="https://www.goodreads.com/book/show/49160345-dark-russian-angel" TargetMode="External"/><Relationship Id="rId220" Type="http://schemas.openxmlformats.org/officeDocument/2006/relationships/hyperlink" Target="https://www.goodreads.com/book/show/61195387-tis-the-season-for-revenge" TargetMode="External"/><Relationship Id="rId103" Type="http://schemas.openxmlformats.org/officeDocument/2006/relationships/hyperlink" Target="https://www.goodreads.com/book/show/520543.Wild" TargetMode="External"/><Relationship Id="rId224" Type="http://schemas.openxmlformats.org/officeDocument/2006/relationships/hyperlink" Target="https://www.goodreads.com/book/show/31697989-the-wingman" TargetMode="External"/><Relationship Id="rId102" Type="http://schemas.openxmlformats.org/officeDocument/2006/relationships/hyperlink" Target="https://www.goodreads.com/book/show/520541.Wicked" TargetMode="External"/><Relationship Id="rId223" Type="http://schemas.openxmlformats.org/officeDocument/2006/relationships/hyperlink" Target="https://www.goodreads.com/book/show/34342184-imago" TargetMode="External"/><Relationship Id="rId101" Type="http://schemas.openxmlformats.org/officeDocument/2006/relationships/hyperlink" Target="https://www.goodreads.com/book/show/147981840-visions-of-scarlett?from_search=true&amp;from_srp=true&amp;qid=YIQzTPPvC7&amp;rank=1" TargetMode="External"/><Relationship Id="rId222" Type="http://schemas.openxmlformats.org/officeDocument/2006/relationships/hyperlink" Target="https://www.goodreads.com/book/show/40627465-galaxies-and-oceans" TargetMode="External"/><Relationship Id="rId100" Type="http://schemas.openxmlformats.org/officeDocument/2006/relationships/hyperlink" Target="https://www.goodreads.com/book/show/33950707-14-weeks" TargetMode="External"/><Relationship Id="rId221" Type="http://schemas.openxmlformats.org/officeDocument/2006/relationships/hyperlink" Target="https://www.goodreads.com/book/show/57114654-rescue" TargetMode="External"/><Relationship Id="rId217" Type="http://schemas.openxmlformats.org/officeDocument/2006/relationships/hyperlink" Target="https://www.goodreads.com/book/show/48705791-the-boyfriend-tune-up" TargetMode="External"/><Relationship Id="rId216" Type="http://schemas.openxmlformats.org/officeDocument/2006/relationships/hyperlink" Target="https://www.goodreads.com/book/show/42606944-the-wish-collector" TargetMode="External"/><Relationship Id="rId215" Type="http://schemas.openxmlformats.org/officeDocument/2006/relationships/hyperlink" Target="https://www.goodreads.com/book/show/45714792-savaged" TargetMode="External"/><Relationship Id="rId214" Type="http://schemas.openxmlformats.org/officeDocument/2006/relationships/hyperlink" Target="https://www.goodreads.com/book/show/56794221" TargetMode="External"/><Relationship Id="rId219" Type="http://schemas.openxmlformats.org/officeDocument/2006/relationships/hyperlink" Target="https://www.goodreads.com/book/show/60638222-snowed-in-with-benefits" TargetMode="External"/><Relationship Id="rId218" Type="http://schemas.openxmlformats.org/officeDocument/2006/relationships/hyperlink" Target="https://www.goodreads.com/book/show/25615831-dark-horse" TargetMode="External"/><Relationship Id="rId213" Type="http://schemas.openxmlformats.org/officeDocument/2006/relationships/hyperlink" Target="https://www.goodreads.com/book/show/44036410-over-the-fence" TargetMode="External"/><Relationship Id="rId212" Type="http://schemas.openxmlformats.org/officeDocument/2006/relationships/hyperlink" Target="https://www.goodreads.com/book/show/36889238-bentley" TargetMode="External"/><Relationship Id="rId211" Type="http://schemas.openxmlformats.org/officeDocument/2006/relationships/hyperlink" Target="https://www.goodreads.com/book/show/21474459-frenched" TargetMode="External"/><Relationship Id="rId210" Type="http://schemas.openxmlformats.org/officeDocument/2006/relationships/hyperlink" Target="https://www.goodreads.com/book/show/33397807-sex-says" TargetMode="External"/><Relationship Id="rId129" Type="http://schemas.openxmlformats.org/officeDocument/2006/relationships/hyperlink" Target="https://www.goodreads.com/book/show/51051801-wild-open-hearts" TargetMode="External"/><Relationship Id="rId128" Type="http://schemas.openxmlformats.org/officeDocument/2006/relationships/hyperlink" Target="https://www.goodreads.com/book/show/58756087-the-company-of-fiends" TargetMode="External"/><Relationship Id="rId249" Type="http://schemas.openxmlformats.org/officeDocument/2006/relationships/hyperlink" Target="https://www.goodreads.com/book/show/57896916-the-beneath-behind-the-wall-1" TargetMode="External"/><Relationship Id="rId127" Type="http://schemas.openxmlformats.org/officeDocument/2006/relationships/hyperlink" Target="https://www.goodreads.com/book/show/53418968-lola-the-millionaires" TargetMode="External"/><Relationship Id="rId248" Type="http://schemas.openxmlformats.org/officeDocument/2006/relationships/hyperlink" Target="https://www.goodreads.com/book/show/57520528-dead-wolf-walking" TargetMode="External"/><Relationship Id="rId126" Type="http://schemas.openxmlformats.org/officeDocument/2006/relationships/hyperlink" Target="https://www.goodreads.com/book/show/53418962-lola-the-millionaires" TargetMode="External"/><Relationship Id="rId247" Type="http://schemas.openxmlformats.org/officeDocument/2006/relationships/hyperlink" Target="https://www.goodreads.com/book/show/45484739-heart-and-hand" TargetMode="External"/><Relationship Id="rId121" Type="http://schemas.openxmlformats.org/officeDocument/2006/relationships/hyperlink" Target="https://www.goodreads.com/book/show/59430686-love-laugh-lich" TargetMode="External"/><Relationship Id="rId242" Type="http://schemas.openxmlformats.org/officeDocument/2006/relationships/hyperlink" Target="https://www.goodreads.com/book/show/31823218-a-place-in-the-sun" TargetMode="External"/><Relationship Id="rId120" Type="http://schemas.openxmlformats.org/officeDocument/2006/relationships/hyperlink" Target="https://www.goodreads.com/book/show/61881902-the-orc-from-the-office" TargetMode="External"/><Relationship Id="rId241" Type="http://schemas.openxmlformats.org/officeDocument/2006/relationships/hyperlink" Target="https://www.goodreads.com/book/show/27228341-land-of-the-beautiful-dead" TargetMode="External"/><Relationship Id="rId240" Type="http://schemas.openxmlformats.org/officeDocument/2006/relationships/hyperlink" Target="https://www.goodreads.com/book/show/17563213-cottonwood" TargetMode="External"/><Relationship Id="rId125" Type="http://schemas.openxmlformats.org/officeDocument/2006/relationships/hyperlink" Target="https://www.goodreads.com/book/show/56574777-a-lady-of-rooksgrave-manor" TargetMode="External"/><Relationship Id="rId246" Type="http://schemas.openxmlformats.org/officeDocument/2006/relationships/hyperlink" Target="https://www.goodreads.com/book/show/54950941-the-experiment" TargetMode="External"/><Relationship Id="rId124" Type="http://schemas.openxmlformats.org/officeDocument/2006/relationships/hyperlink" Target="https://www.goodreads.com/book/show/216296627-doctor-d-arco-sorcerer-of-london" TargetMode="External"/><Relationship Id="rId245" Type="http://schemas.openxmlformats.org/officeDocument/2006/relationships/hyperlink" Target="https://www.goodreads.com/book/show/60686667-her-band-of-rakes" TargetMode="External"/><Relationship Id="rId123" Type="http://schemas.openxmlformats.org/officeDocument/2006/relationships/hyperlink" Target="https://www.goodreads.com/book/show/60727228-of-visions-secrets" TargetMode="External"/><Relationship Id="rId244" Type="http://schemas.openxmlformats.org/officeDocument/2006/relationships/hyperlink" Target="https://www.goodreads.com/book/show/41051411-not-so-nice-guy" TargetMode="External"/><Relationship Id="rId122" Type="http://schemas.openxmlformats.org/officeDocument/2006/relationships/hyperlink" Target="https://www.goodreads.com/book/show/54776844-burning-hope" TargetMode="External"/><Relationship Id="rId243" Type="http://schemas.openxmlformats.org/officeDocument/2006/relationships/hyperlink" Target="https://www.goodreads.com/book/show/44182029-make-me-bad" TargetMode="External"/><Relationship Id="rId95" Type="http://schemas.openxmlformats.org/officeDocument/2006/relationships/hyperlink" Target="https://www.goodreads.com/book/show/36196052-the-rules" TargetMode="External"/><Relationship Id="rId94" Type="http://schemas.openxmlformats.org/officeDocument/2006/relationships/hyperlink" Target="https://www.goodreads.com/book/show/52838537-rules-of-engagement" TargetMode="External"/><Relationship Id="rId97" Type="http://schemas.openxmlformats.org/officeDocument/2006/relationships/hyperlink" Target="https://www.goodreads.com/book/show/22366313" TargetMode="External"/><Relationship Id="rId96" Type="http://schemas.openxmlformats.org/officeDocument/2006/relationships/hyperlink" Target="https://www.goodreads.com/book/show/123735338-plier" TargetMode="External"/><Relationship Id="rId99" Type="http://schemas.openxmlformats.org/officeDocument/2006/relationships/hyperlink" Target="https://www.goodreads.com/book/show/35662096-polaris-rising" TargetMode="External"/><Relationship Id="rId98" Type="http://schemas.openxmlformats.org/officeDocument/2006/relationships/hyperlink" Target="https://www.goodreads.com/book/show/61615903-come-as-you-are?ac=1&amp;from_search=true&amp;qid=BiLv69ZOVB&amp;rank=1" TargetMode="External"/><Relationship Id="rId91" Type="http://schemas.openxmlformats.org/officeDocument/2006/relationships/hyperlink" Target="https://www.goodreads.com/book/show/50900667-dear-ava" TargetMode="External"/><Relationship Id="rId90" Type="http://schemas.openxmlformats.org/officeDocument/2006/relationships/hyperlink" Target="https://www.goodreads.com/book/show/196732035-faith-fangs-and-face-offs" TargetMode="External"/><Relationship Id="rId93" Type="http://schemas.openxmlformats.org/officeDocument/2006/relationships/hyperlink" Target="https://www.goodreads.com/book/show/36564103-melt-for-you" TargetMode="External"/><Relationship Id="rId92" Type="http://schemas.openxmlformats.org/officeDocument/2006/relationships/hyperlink" Target="https://www.goodreads.com/book/show/50385976-saving-askara" TargetMode="External"/><Relationship Id="rId118" Type="http://schemas.openxmlformats.org/officeDocument/2006/relationships/hyperlink" Target="https://www.goodreads.com/book/show/40311534-hard-pressed" TargetMode="External"/><Relationship Id="rId239" Type="http://schemas.openxmlformats.org/officeDocument/2006/relationships/hyperlink" Target="https://www.goodreads.com/book/show/18589656-the-last-hour-of-gann" TargetMode="External"/><Relationship Id="rId117" Type="http://schemas.openxmlformats.org/officeDocument/2006/relationships/hyperlink" Target="https://www.goodreads.com/book/show/35919933-fresh-catch" TargetMode="External"/><Relationship Id="rId238" Type="http://schemas.openxmlformats.org/officeDocument/2006/relationships/hyperlink" Target="https://www.goodreads.com/book/show/56381931-while-you-were-creeping" TargetMode="External"/><Relationship Id="rId116" Type="http://schemas.openxmlformats.org/officeDocument/2006/relationships/hyperlink" Target="https://www.goodreads.com/book/show/23486111-underneath-it-all" TargetMode="External"/><Relationship Id="rId237" Type="http://schemas.openxmlformats.org/officeDocument/2006/relationships/hyperlink" Target="https://www.goodreads.com/book/show/43448175-hosed" TargetMode="External"/><Relationship Id="rId115" Type="http://schemas.openxmlformats.org/officeDocument/2006/relationships/hyperlink" Target="https://www.goodreads.com/book/show/60884178-forget-me-not?ac=1&amp;from_search=true&amp;qid=hbsjDbrfyR&amp;rank=1" TargetMode="External"/><Relationship Id="rId236" Type="http://schemas.openxmlformats.org/officeDocument/2006/relationships/hyperlink" Target="https://www.goodreads.com/book/show/48572514-crazy-for-loving-you" TargetMode="External"/><Relationship Id="rId119" Type="http://schemas.openxmlformats.org/officeDocument/2006/relationships/hyperlink" Target="https://www.goodreads.com/book/show/35717661-beginner-s-luck" TargetMode="External"/><Relationship Id="rId110" Type="http://schemas.openxmlformats.org/officeDocument/2006/relationships/hyperlink" Target="https://www.goodreads.com/book/show/17947475-the-highwayman" TargetMode="External"/><Relationship Id="rId231" Type="http://schemas.openxmlformats.org/officeDocument/2006/relationships/hyperlink" Target="https://www.goodreads.com/book/show/49962326-the-penalty-box" TargetMode="External"/><Relationship Id="rId230" Type="http://schemas.openxmlformats.org/officeDocument/2006/relationships/hyperlink" Target="https://www.goodreads.com/book/show/45170561-home-game" TargetMode="External"/><Relationship Id="rId114" Type="http://schemas.openxmlformats.org/officeDocument/2006/relationships/hyperlink" Target="https://www.goodreads.com/book/show/38659522-the-swedish-prince" TargetMode="External"/><Relationship Id="rId235" Type="http://schemas.openxmlformats.org/officeDocument/2006/relationships/hyperlink" Target="https://www.goodreads.com/book/show/49084724-credence" TargetMode="External"/><Relationship Id="rId113" Type="http://schemas.openxmlformats.org/officeDocument/2006/relationships/hyperlink" Target="https://www.goodreads.com/book/show/53544752-den-of-vipers" TargetMode="External"/><Relationship Id="rId234" Type="http://schemas.openxmlformats.org/officeDocument/2006/relationships/hyperlink" Target="https://www.goodreads.com/book/show/203048501-geordie" TargetMode="External"/><Relationship Id="rId112" Type="http://schemas.openxmlformats.org/officeDocument/2006/relationships/hyperlink" Target="https://www.goodreads.com/book/show/53337011-dishing-up-love" TargetMode="External"/><Relationship Id="rId233" Type="http://schemas.openxmlformats.org/officeDocument/2006/relationships/hyperlink" Target="https://www.goodreads.com/book/show/49493150-simple-jess" TargetMode="External"/><Relationship Id="rId111" Type="http://schemas.openxmlformats.org/officeDocument/2006/relationships/hyperlink" Target="https://www.goodreads.com/book/show/61862466" TargetMode="External"/><Relationship Id="rId232" Type="http://schemas.openxmlformats.org/officeDocument/2006/relationships/hyperlink" Target="https://www.goodreads.com/book/show/54592300-heart-s-prisoner" TargetMode="External"/><Relationship Id="rId304" Type="http://schemas.openxmlformats.org/officeDocument/2006/relationships/vmlDrawing" Target="../drawings/vmlDrawing1.vml"/><Relationship Id="rId303" Type="http://schemas.openxmlformats.org/officeDocument/2006/relationships/drawing" Target="../drawings/drawing1.xml"/><Relationship Id="rId302" Type="http://schemas.openxmlformats.org/officeDocument/2006/relationships/hyperlink" Target="https://www.goodreads.com/book/show/51225436-love-language" TargetMode="External"/><Relationship Id="rId301" Type="http://schemas.openxmlformats.org/officeDocument/2006/relationships/hyperlink" Target="https://www.goodreads.com/book/show/127924695-garron-park" TargetMode="External"/><Relationship Id="rId300" Type="http://schemas.openxmlformats.org/officeDocument/2006/relationships/hyperlink" Target="https://www.goodreads.com/book/show/216187029-wrangled-by-the-alien-rancher" TargetMode="External"/><Relationship Id="rId206" Type="http://schemas.openxmlformats.org/officeDocument/2006/relationships/hyperlink" Target="https://www.goodreads.com/book/show/37683751-from-lukov-with-love" TargetMode="External"/><Relationship Id="rId205" Type="http://schemas.openxmlformats.org/officeDocument/2006/relationships/hyperlink" Target="https://www.goodreads.com/en/book/show/44105905" TargetMode="External"/><Relationship Id="rId204" Type="http://schemas.openxmlformats.org/officeDocument/2006/relationships/hyperlink" Target="https://www.goodreads.com/book/show/42110750-sunshine-and-rain" TargetMode="External"/><Relationship Id="rId203" Type="http://schemas.openxmlformats.org/officeDocument/2006/relationships/hyperlink" Target="https://www.goodreads.com/book/show/18660750-the-do-over" TargetMode="External"/><Relationship Id="rId209" Type="http://schemas.openxmlformats.org/officeDocument/2006/relationships/hyperlink" Target="https://www.goodreads.com/book/show/33288638-wait-for-it" TargetMode="External"/><Relationship Id="rId208" Type="http://schemas.openxmlformats.org/officeDocument/2006/relationships/hyperlink" Target="https://www.goodreads.com/book/show/29367958-the-wall-of-winnipeg-and-me" TargetMode="External"/><Relationship Id="rId207" Type="http://schemas.openxmlformats.org/officeDocument/2006/relationships/hyperlink" Target="https://www.goodreads.com/book/show/42883009-luna-and-the-lie" TargetMode="External"/><Relationship Id="rId202" Type="http://schemas.openxmlformats.org/officeDocument/2006/relationships/hyperlink" Target="https://www.goodreads.com/book/show/50337348-homebound" TargetMode="External"/><Relationship Id="rId201" Type="http://schemas.openxmlformats.org/officeDocument/2006/relationships/hyperlink" Target="https://www.goodreads.com/en/book/show/26131924" TargetMode="External"/><Relationship Id="rId200" Type="http://schemas.openxmlformats.org/officeDocument/2006/relationships/hyperlink" Target="https://www.goodreads.com/book/show/22922028-one-indulgenc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dreads.com/book/show/42832526-storm" TargetMode="External"/><Relationship Id="rId190" Type="http://schemas.openxmlformats.org/officeDocument/2006/relationships/hyperlink" Target="https://www.goodreads.com/book/show/48677178-by-a-thread" TargetMode="External"/><Relationship Id="rId42" Type="http://schemas.openxmlformats.org/officeDocument/2006/relationships/hyperlink" Target="https://www.goodreads.com/book/show/59088440-fall-into-you" TargetMode="External"/><Relationship Id="rId41" Type="http://schemas.openxmlformats.org/officeDocument/2006/relationships/hyperlink" Target="https://www.goodreads.com/book/show/49826643" TargetMode="External"/><Relationship Id="rId44" Type="http://schemas.openxmlformats.org/officeDocument/2006/relationships/hyperlink" Target="https://www.goodreads.com/book/show/197891098-second-chance-snowmance" TargetMode="External"/><Relationship Id="rId194" Type="http://schemas.openxmlformats.org/officeDocument/2006/relationships/hyperlink" Target="https://www.goodreads.com/book/show/51079724-the-price-of-scandal" TargetMode="External"/><Relationship Id="rId43" Type="http://schemas.openxmlformats.org/officeDocument/2006/relationships/hyperlink" Target="https://www.goodreads.com/book/show/60476072-shall-we-dance" TargetMode="External"/><Relationship Id="rId193" Type="http://schemas.openxmlformats.org/officeDocument/2006/relationships/hyperlink" Target="https://www.goodreads.com/book/show/44178049-rock-bottom-girl" TargetMode="External"/><Relationship Id="rId46" Type="http://schemas.openxmlformats.org/officeDocument/2006/relationships/hyperlink" Target="https://www.goodreads.com/book/show/61068937-dark-siren" TargetMode="External"/><Relationship Id="rId192" Type="http://schemas.openxmlformats.org/officeDocument/2006/relationships/hyperlink" Target="https://www.goodreads.com/book/show/55029958-riley-thorn-and-the-dead-guy-next-door" TargetMode="External"/><Relationship Id="rId45" Type="http://schemas.openxmlformats.org/officeDocument/2006/relationships/hyperlink" Target="https://www.amazon.com/gp/product/B086HW5S41" TargetMode="External"/><Relationship Id="rId191" Type="http://schemas.openxmlformats.org/officeDocument/2006/relationships/hyperlink" Target="https://www.goodreads.com/book/show/50350996-protecting-what-s-mine" TargetMode="External"/><Relationship Id="rId48" Type="http://schemas.openxmlformats.org/officeDocument/2006/relationships/hyperlink" Target="https://www.goodreads.com/book/show/17609278-wicked-ugly-bad" TargetMode="External"/><Relationship Id="rId187" Type="http://schemas.openxmlformats.org/officeDocument/2006/relationships/hyperlink" Target="https://www.goodreads.com/book/show/61213995-court-of-blood-and-bindings" TargetMode="External"/><Relationship Id="rId47" Type="http://schemas.openxmlformats.org/officeDocument/2006/relationships/hyperlink" Target="https://www.goodreads.com/book/show/61068937-dark-siren" TargetMode="External"/><Relationship Id="rId186" Type="http://schemas.openxmlformats.org/officeDocument/2006/relationships/hyperlink" Target="https://www.goodreads.com/book/show/693016.Mine_Till_Midnight" TargetMode="External"/><Relationship Id="rId185" Type="http://schemas.openxmlformats.org/officeDocument/2006/relationships/hyperlink" Target="https://www.goodreads.com/book/show/36228345-the-richmond-thief" TargetMode="External"/><Relationship Id="rId49" Type="http://schemas.openxmlformats.org/officeDocument/2006/relationships/hyperlink" Target="https://www.goodreads.com/book/show/51035708-charge" TargetMode="External"/><Relationship Id="rId184" Type="http://schemas.openxmlformats.org/officeDocument/2006/relationships/hyperlink" Target="https://www.goodreads.com/book/show/51474324-sinister-magic" TargetMode="External"/><Relationship Id="rId189" Type="http://schemas.openxmlformats.org/officeDocument/2006/relationships/hyperlink" Target="https://www.goodreads.com/book/show/51578713-virgin-flyer" TargetMode="External"/><Relationship Id="rId188" Type="http://schemas.openxmlformats.org/officeDocument/2006/relationships/hyperlink" Target="https://www.amazon.com/gp/product/B0052DN2YG" TargetMode="External"/><Relationship Id="rId31" Type="http://schemas.openxmlformats.org/officeDocument/2006/relationships/hyperlink" Target="https://www.goodreads.com/book/show/53189351" TargetMode="External"/><Relationship Id="rId30" Type="http://schemas.openxmlformats.org/officeDocument/2006/relationships/hyperlink" Target="https://www.goodreads.com/book/show/58415536-broken-records" TargetMode="External"/><Relationship Id="rId33" Type="http://schemas.openxmlformats.org/officeDocument/2006/relationships/hyperlink" Target="https://www.goodreads.com/book/show/58678992-morning-glory-milking-farm" TargetMode="External"/><Relationship Id="rId183" Type="http://schemas.openxmlformats.org/officeDocument/2006/relationships/hyperlink" Target="https://www.goodreads.com/book/show/61068802-the-agent-and-the-outlaw?ac=1&amp;from_search=true&amp;qid=hS6gPI0U4p&amp;rank=1" TargetMode="External"/><Relationship Id="rId32" Type="http://schemas.openxmlformats.org/officeDocument/2006/relationships/hyperlink" Target="https://www.goodreads.com/book/show/55747432" TargetMode="External"/><Relationship Id="rId182" Type="http://schemas.openxmlformats.org/officeDocument/2006/relationships/hyperlink" Target="https://www.goodreads.com/book/show/58722474-the-assassin-and-the-libertine?ac=1&amp;from_search=true&amp;qid=HPHLwMQmvL&amp;rank=1" TargetMode="External"/><Relationship Id="rId35" Type="http://schemas.openxmlformats.org/officeDocument/2006/relationships/hyperlink" Target="https://www.goodreads.com/book/show/44649884-filthy-rich-boys" TargetMode="External"/><Relationship Id="rId181" Type="http://schemas.openxmlformats.org/officeDocument/2006/relationships/hyperlink" Target="https://www.goodreads.com/book/show/42840413" TargetMode="External"/><Relationship Id="rId34" Type="http://schemas.openxmlformats.org/officeDocument/2006/relationships/hyperlink" Target="https://www.goodreads.com/book/show/24285685-breaking-even" TargetMode="External"/><Relationship Id="rId180" Type="http://schemas.openxmlformats.org/officeDocument/2006/relationships/hyperlink" Target="https://www.goodreads.com/book/show/175404367-berries-and-greed" TargetMode="External"/><Relationship Id="rId37" Type="http://schemas.openxmlformats.org/officeDocument/2006/relationships/hyperlink" Target="https://www.goodreads.com/book/show/48552218-kept-by-monsters" TargetMode="External"/><Relationship Id="rId176" Type="http://schemas.openxmlformats.org/officeDocument/2006/relationships/hyperlink" Target="https://www.goodreads.com/book/show/61199573-meet-me-halfway" TargetMode="External"/><Relationship Id="rId297" Type="http://schemas.openxmlformats.org/officeDocument/2006/relationships/hyperlink" Target="https://www.goodreads.com/book/show/78641186-time-to-shine" TargetMode="External"/><Relationship Id="rId36" Type="http://schemas.openxmlformats.org/officeDocument/2006/relationships/hyperlink" Target="https://www.goodreads.com/book/show/62856402-two-for-tea" TargetMode="External"/><Relationship Id="rId175" Type="http://schemas.openxmlformats.org/officeDocument/2006/relationships/hyperlink" Target="https://www.goodreads.com/book/show/50489397-a-cowboy-in-essex" TargetMode="External"/><Relationship Id="rId296" Type="http://schemas.openxmlformats.org/officeDocument/2006/relationships/hyperlink" Target="https://www.goodreads.com/book/show/35449785-the-alien-s-lover" TargetMode="External"/><Relationship Id="rId39" Type="http://schemas.openxmlformats.org/officeDocument/2006/relationships/hyperlink" Target="https://www.goodreads.com/book/show/17264796" TargetMode="External"/><Relationship Id="rId174" Type="http://schemas.openxmlformats.org/officeDocument/2006/relationships/hyperlink" Target="https://www.goodreads.com/book/show/34452618-mister-romance" TargetMode="External"/><Relationship Id="rId295" Type="http://schemas.openxmlformats.org/officeDocument/2006/relationships/hyperlink" Target="https://www.goodreads.com/book/show/49610915-claimed-by-the-horde-king" TargetMode="External"/><Relationship Id="rId38" Type="http://schemas.openxmlformats.org/officeDocument/2006/relationships/hyperlink" Target="https://www.goodreads.com/book/show/48715915-the-guy-in-the-window" TargetMode="External"/><Relationship Id="rId173" Type="http://schemas.openxmlformats.org/officeDocument/2006/relationships/hyperlink" Target="https://www.goodreads.com/book/show/221108786-shared-hearts?from_search=true&amp;from_srp=true&amp;qid=Cc3hmxeDjM&amp;rank=1" TargetMode="External"/><Relationship Id="rId294" Type="http://schemas.openxmlformats.org/officeDocument/2006/relationships/hyperlink" Target="https://www.goodreads.com/book/show/51035732-just-for-a-while" TargetMode="External"/><Relationship Id="rId179" Type="http://schemas.openxmlformats.org/officeDocument/2006/relationships/hyperlink" Target="https://www.goodreads.com/book/show/58114709" TargetMode="External"/><Relationship Id="rId178" Type="http://schemas.openxmlformats.org/officeDocument/2006/relationships/hyperlink" Target="https://www.goodreads.com/book/show/55532233-three-of-hearts" TargetMode="External"/><Relationship Id="rId299" Type="http://schemas.openxmlformats.org/officeDocument/2006/relationships/hyperlink" Target="https://www.goodreads.com/book/show/216187029-wrangled-by-the-alien-rancher" TargetMode="External"/><Relationship Id="rId177" Type="http://schemas.openxmlformats.org/officeDocument/2006/relationships/hyperlink" Target="https://www.goodreads.com/book/show/59116203-deceived-by-the-gargoyles" TargetMode="External"/><Relationship Id="rId298" Type="http://schemas.openxmlformats.org/officeDocument/2006/relationships/hyperlink" Target="https://www.goodreads.com/book/show/194856118-like-you-hate-me" TargetMode="External"/><Relationship Id="rId20" Type="http://schemas.openxmlformats.org/officeDocument/2006/relationships/hyperlink" Target="https://www.goodreads.com/book/show/63112074-the-marriage-auction" TargetMode="External"/><Relationship Id="rId22" Type="http://schemas.openxmlformats.org/officeDocument/2006/relationships/hyperlink" Target="https://www.goodreads.com/book/show/28008070-the-captain-s-wallflower" TargetMode="External"/><Relationship Id="rId21" Type="http://schemas.openxmlformats.org/officeDocument/2006/relationships/hyperlink" Target="https://www.goodreads.com/book/show/51616063-lady-edith-s-lonely-heart" TargetMode="External"/><Relationship Id="rId24" Type="http://schemas.openxmlformats.org/officeDocument/2006/relationships/hyperlink" Target="https://www.goodreads.com/en/book/show/199345368" TargetMode="External"/><Relationship Id="rId23" Type="http://schemas.openxmlformats.org/officeDocument/2006/relationships/hyperlink" Target="https://www.goodreads.com/book/show/203042941-spearcrest-devil" TargetMode="External"/><Relationship Id="rId26" Type="http://schemas.openxmlformats.org/officeDocument/2006/relationships/hyperlink" Target="https://www.goodreads.com/book/show/208457093-fall-with-me" TargetMode="External"/><Relationship Id="rId25" Type="http://schemas.openxmlformats.org/officeDocument/2006/relationships/hyperlink" Target="https://www.goodreads.com/book/show/52614279-when-darkness-comes" TargetMode="External"/><Relationship Id="rId28" Type="http://schemas.openxmlformats.org/officeDocument/2006/relationships/hyperlink" Target="https://www.goodreads.com/book/show/27131389-lev" TargetMode="External"/><Relationship Id="rId27" Type="http://schemas.openxmlformats.org/officeDocument/2006/relationships/hyperlink" Target="https://www.goodreads.com/book/show/84262813" TargetMode="External"/><Relationship Id="rId29" Type="http://schemas.openxmlformats.org/officeDocument/2006/relationships/hyperlink" Target="https://www.goodreads.com/book/show/60682598" TargetMode="External"/><Relationship Id="rId11" Type="http://schemas.openxmlformats.org/officeDocument/2006/relationships/hyperlink" Target="https://www.goodreads.com/book/show/40846776-flip-trick" TargetMode="External"/><Relationship Id="rId10" Type="http://schemas.openxmlformats.org/officeDocument/2006/relationships/hyperlink" Target="https://www.goodreads.com/book/show/63231447-into-the-north?ac=1&amp;from_search=true&amp;qid=LRhuOEMkdi&amp;rank=3" TargetMode="External"/><Relationship Id="rId13" Type="http://schemas.openxmlformats.org/officeDocument/2006/relationships/hyperlink" Target="https://www.goodreads.com/book/show/40407141-what-the-wind-knows" TargetMode="External"/><Relationship Id="rId12" Type="http://schemas.openxmlformats.org/officeDocument/2006/relationships/hyperlink" Target="https://www.goodreads.com/book/show/52602989-blindsided" TargetMode="External"/><Relationship Id="rId15" Type="http://schemas.openxmlformats.org/officeDocument/2006/relationships/hyperlink" Target="https://www.goodreads.com/book/show/43483442-love-is-blind" TargetMode="External"/><Relationship Id="rId198" Type="http://schemas.openxmlformats.org/officeDocument/2006/relationships/hyperlink" Target="https://www.goodreads.com/book/show/42651348-queen-of-cahraman" TargetMode="External"/><Relationship Id="rId14" Type="http://schemas.openxmlformats.org/officeDocument/2006/relationships/hyperlink" Target="https://www.goodreads.com/book/show/56986379-lords-of-pain?from_search=true&amp;from_srp=true&amp;qid=HdL9YJtnoZ&amp;rank=1" TargetMode="External"/><Relationship Id="rId197" Type="http://schemas.openxmlformats.org/officeDocument/2006/relationships/hyperlink" Target="https://www.goodreads.com/book/show/41059130-prince-of-cahraman" TargetMode="External"/><Relationship Id="rId17" Type="http://schemas.openxmlformats.org/officeDocument/2006/relationships/hyperlink" Target="https://www.goodreads.com/book/show/33267481-leo-loves-aries" TargetMode="External"/><Relationship Id="rId196" Type="http://schemas.openxmlformats.org/officeDocument/2006/relationships/hyperlink" Target="https://www.goodreads.com/book/show/40933577-thief-of-cahraman" TargetMode="External"/><Relationship Id="rId16" Type="http://schemas.openxmlformats.org/officeDocument/2006/relationships/hyperlink" Target="https://www.goodreads.com/book/show/44932446-taming-demons-for-beginners" TargetMode="External"/><Relationship Id="rId195" Type="http://schemas.openxmlformats.org/officeDocument/2006/relationships/hyperlink" Target="https://www.goodreads.com/book/show/39693841-whiskey-chaser" TargetMode="External"/><Relationship Id="rId19" Type="http://schemas.openxmlformats.org/officeDocument/2006/relationships/hyperlink" Target="https://www.goodreads.com/en/book/show/40052412" TargetMode="External"/><Relationship Id="rId18" Type="http://schemas.openxmlformats.org/officeDocument/2006/relationships/hyperlink" Target="https://www.goodreads.com/book/show/50776910-faking-under-the-mistletoe" TargetMode="External"/><Relationship Id="rId199" Type="http://schemas.openxmlformats.org/officeDocument/2006/relationships/hyperlink" Target="https://www.goodreads.com/book/show/22922028-one-indulgence" TargetMode="External"/><Relationship Id="rId84" Type="http://schemas.openxmlformats.org/officeDocument/2006/relationships/hyperlink" Target="https://www.goodreads.com/book/show/33718834-alaska-wild" TargetMode="External"/><Relationship Id="rId83" Type="http://schemas.openxmlformats.org/officeDocument/2006/relationships/hyperlink" Target="https://www.goodreads.com/book/show/119252474-fierce-dancer" TargetMode="External"/><Relationship Id="rId86" Type="http://schemas.openxmlformats.org/officeDocument/2006/relationships/hyperlink" Target="https://www.goodreads.com/book/show/32725923-outlaw-s-promise?from_search=true&amp;from_srp=true&amp;qid=FnYaD9uaJH&amp;rank=1" TargetMode="External"/><Relationship Id="rId85" Type="http://schemas.openxmlformats.org/officeDocument/2006/relationships/hyperlink" Target="https://www.goodreads.com/book/show/42608724-mount-mercy" TargetMode="External"/><Relationship Id="rId88" Type="http://schemas.openxmlformats.org/officeDocument/2006/relationships/hyperlink" Target="https://www.goodreads.com/book/show/196182641-the-amish-alibi" TargetMode="External"/><Relationship Id="rId150" Type="http://schemas.openxmlformats.org/officeDocument/2006/relationships/hyperlink" Target="https://www.goodreads.com/book/show/54142271-letters-in-the-dark" TargetMode="External"/><Relationship Id="rId271" Type="http://schemas.openxmlformats.org/officeDocument/2006/relationships/hyperlink" Target="https://www.goodreads.com/book/show/122751971-in-your-dreams-holden-rhodes" TargetMode="External"/><Relationship Id="rId87" Type="http://schemas.openxmlformats.org/officeDocument/2006/relationships/hyperlink" Target="https://www.goodreads.com/book/show/54837552-into-the-arms-of-the-storm" TargetMode="External"/><Relationship Id="rId270" Type="http://schemas.openxmlformats.org/officeDocument/2006/relationships/hyperlink" Target="https://www.goodreads.com/book/show/122751961-the-wrong-mr-right" TargetMode="External"/><Relationship Id="rId89" Type="http://schemas.openxmlformats.org/officeDocument/2006/relationships/hyperlink" Target="https://www.goodreads.com/book/show/196732035-faith-fangs-and-face-offs" TargetMode="External"/><Relationship Id="rId80" Type="http://schemas.openxmlformats.org/officeDocument/2006/relationships/hyperlink" Target="https://www.goodreads.com/book/show/123258719-wrong-for-you" TargetMode="External"/><Relationship Id="rId82" Type="http://schemas.openxmlformats.org/officeDocument/2006/relationships/hyperlink" Target="https://www.goodreads.com/book/show/122569261-the-witch-s-wolf" TargetMode="External"/><Relationship Id="rId81" Type="http://schemas.openxmlformats.org/officeDocument/2006/relationships/hyperlink" Target="https://www.goodreads.com/book/show/61594456-cold-hearted" TargetMode="External"/><Relationship Id="rId1" Type="http://schemas.openxmlformats.org/officeDocument/2006/relationships/hyperlink" Target="https://www.goodreads.com/book/show/41838393-the-lord-of-stariel" TargetMode="External"/><Relationship Id="rId2" Type="http://schemas.openxmlformats.org/officeDocument/2006/relationships/hyperlink" Target="https://www.goodreads.com/book/show/124941950-becoming" TargetMode="External"/><Relationship Id="rId3" Type="http://schemas.openxmlformats.org/officeDocument/2006/relationships/hyperlink" Target="https://www.goodreads.com/book/show/59339420-initiation" TargetMode="External"/><Relationship Id="rId149" Type="http://schemas.openxmlformats.org/officeDocument/2006/relationships/hyperlink" Target="https://www.goodreads.com/book/show/15830843-beyond-shame" TargetMode="External"/><Relationship Id="rId4" Type="http://schemas.openxmlformats.org/officeDocument/2006/relationships/hyperlink" Target="https://www.goodreads.com/book/show/13580846-my-life-with-the-walter-boys" TargetMode="External"/><Relationship Id="rId148" Type="http://schemas.openxmlformats.org/officeDocument/2006/relationships/hyperlink" Target="https://www.goodreads.com/book/show/123521649-consort-of-fire?ref=nav_sb_ss_1_15" TargetMode="External"/><Relationship Id="rId269" Type="http://schemas.openxmlformats.org/officeDocument/2006/relationships/hyperlink" Target="https://www.goodreads.com/book/show/122751954-that-kind-of-guy" TargetMode="External"/><Relationship Id="rId9" Type="http://schemas.openxmlformats.org/officeDocument/2006/relationships/hyperlink" Target="https://www.goodreads.com/book/show/53491945-to-desire-a-dragon" TargetMode="External"/><Relationship Id="rId143" Type="http://schemas.openxmlformats.org/officeDocument/2006/relationships/hyperlink" Target="https://www.goodreads.com/book/show/41746595-block-shot" TargetMode="External"/><Relationship Id="rId264" Type="http://schemas.openxmlformats.org/officeDocument/2006/relationships/hyperlink" Target="https://www.goodreads.com/book/show/56677934-gurpreet-and-the-wrong-twin" TargetMode="External"/><Relationship Id="rId142" Type="http://schemas.openxmlformats.org/officeDocument/2006/relationships/hyperlink" Target="https://www.goodreads.com/book/show/61091344" TargetMode="External"/><Relationship Id="rId263" Type="http://schemas.openxmlformats.org/officeDocument/2006/relationships/hyperlink" Target="https://www.goodreads.com/book/show/59867218" TargetMode="External"/><Relationship Id="rId141" Type="http://schemas.openxmlformats.org/officeDocument/2006/relationships/hyperlink" Target="https://www.goodreads.com/en/book/show/61968684" TargetMode="External"/><Relationship Id="rId262" Type="http://schemas.openxmlformats.org/officeDocument/2006/relationships/hyperlink" Target="https://www.goodreads.com/book/show/59990438-the-replacements" TargetMode="External"/><Relationship Id="rId140" Type="http://schemas.openxmlformats.org/officeDocument/2006/relationships/hyperlink" Target="https://www.goodreads.com/book/show/55453297" TargetMode="External"/><Relationship Id="rId261" Type="http://schemas.openxmlformats.org/officeDocument/2006/relationships/hyperlink" Target="https://www.goodreads.com/book/show/55215339-a-touch-of-darkness" TargetMode="External"/><Relationship Id="rId5" Type="http://schemas.openxmlformats.org/officeDocument/2006/relationships/hyperlink" Target="https://www.goodreads.com/book/show/36103790-her-baseborn-bridegroom" TargetMode="External"/><Relationship Id="rId147" Type="http://schemas.openxmlformats.org/officeDocument/2006/relationships/hyperlink" Target="https://www.goodreads.com/book/show/60114483-passion-s-liberation" TargetMode="External"/><Relationship Id="rId268" Type="http://schemas.openxmlformats.org/officeDocument/2006/relationships/hyperlink" Target="https://www.goodreads.com/book/show/32607703-ex-games" TargetMode="External"/><Relationship Id="rId6" Type="http://schemas.openxmlformats.org/officeDocument/2006/relationships/hyperlink" Target="https://www.goodreads.com/en/book/show/60022022-honestly-i-m-totally-faking-it" TargetMode="External"/><Relationship Id="rId146" Type="http://schemas.openxmlformats.org/officeDocument/2006/relationships/hyperlink" Target="https://www.goodreads.com/book/show/48675635-all-i-want-for-christmas" TargetMode="External"/><Relationship Id="rId267" Type="http://schemas.openxmlformats.org/officeDocument/2006/relationships/hyperlink" Target="https://www.goodreads.com/book/show/52905826-a-rogue-in-the-making?from_search=true&amp;from_srp=true&amp;qid=3dPNxsv14g&amp;rank=16" TargetMode="External"/><Relationship Id="rId7" Type="http://schemas.openxmlformats.org/officeDocument/2006/relationships/hyperlink" Target="https://www.goodreads.com/book/show/48567611-contagion" TargetMode="External"/><Relationship Id="rId145" Type="http://schemas.openxmlformats.org/officeDocument/2006/relationships/hyperlink" Target="https://www.goodreads.com/book/show/50702585-master-of-salt-bones" TargetMode="External"/><Relationship Id="rId266" Type="http://schemas.openxmlformats.org/officeDocument/2006/relationships/hyperlink" Target="https://www.goodreads.com/book/show/122779502-a-court-this-cruel-and-lovely" TargetMode="External"/><Relationship Id="rId8" Type="http://schemas.openxmlformats.org/officeDocument/2006/relationships/hyperlink" Target="https://www.goodreads.com/book/show/43194302-the-alien-nanny-for-christmas" TargetMode="External"/><Relationship Id="rId144" Type="http://schemas.openxmlformats.org/officeDocument/2006/relationships/hyperlink" Target="https://www.goodreads.com/book/show/45024651-the-kingmaker" TargetMode="External"/><Relationship Id="rId265" Type="http://schemas.openxmlformats.org/officeDocument/2006/relationships/hyperlink" Target="https://www.goodreads.com/book/show/48766474-coffee-girl" TargetMode="External"/><Relationship Id="rId73" Type="http://schemas.openxmlformats.org/officeDocument/2006/relationships/hyperlink" Target="https://www.goodreads.com/book/show/63896353-ship-it?ac=1&amp;from_search=true&amp;qid=IxZ7IYyJFk&amp;rank=1" TargetMode="External"/><Relationship Id="rId72" Type="http://schemas.openxmlformats.org/officeDocument/2006/relationships/hyperlink" Target="https://www.goodreads.com/book/show/59332168-a-walrus-a-gentleman" TargetMode="External"/><Relationship Id="rId75" Type="http://schemas.openxmlformats.org/officeDocument/2006/relationships/hyperlink" Target="https://www.goodreads.com/book/show/61993247" TargetMode="External"/><Relationship Id="rId74" Type="http://schemas.openxmlformats.org/officeDocument/2006/relationships/hyperlink" Target="https://www.goodreads.com/book/show/63327305-let-your-hearts-be-light?ref=nav_sb_ss_1_24" TargetMode="External"/><Relationship Id="rId77" Type="http://schemas.openxmlformats.org/officeDocument/2006/relationships/hyperlink" Target="https://www.goodreads.com/book/show/53581106-the-librarian-and-the-orc" TargetMode="External"/><Relationship Id="rId260" Type="http://schemas.openxmlformats.org/officeDocument/2006/relationships/hyperlink" Target="https://www.goodreads.com/book/show/8471815-you-don-t-have-to-say-you-love-me" TargetMode="External"/><Relationship Id="rId76" Type="http://schemas.openxmlformats.org/officeDocument/2006/relationships/hyperlink" Target="https://www.goodreads.com/book/show/61311029-the-governess-and-the-orc" TargetMode="External"/><Relationship Id="rId79" Type="http://schemas.openxmlformats.org/officeDocument/2006/relationships/hyperlink" Target="https://www.goodreads.com/book/show/25421052-how-to-save-an-undead-life" TargetMode="External"/><Relationship Id="rId78" Type="http://schemas.openxmlformats.org/officeDocument/2006/relationships/hyperlink" Target="https://www.goodreads.com/book/show/41033347-bloody-sunrise" TargetMode="External"/><Relationship Id="rId71" Type="http://schemas.openxmlformats.org/officeDocument/2006/relationships/hyperlink" Target="https://www.goodreads.com/book/show/40280900-flaming-june" TargetMode="External"/><Relationship Id="rId70" Type="http://schemas.openxmlformats.org/officeDocument/2006/relationships/hyperlink" Target="https://www.goodreads.com/book/show/25814647-rush" TargetMode="External"/><Relationship Id="rId139" Type="http://schemas.openxmlformats.org/officeDocument/2006/relationships/hyperlink" Target="https://www.goodreads.com/book/show/58724944-a-rip-through-time" TargetMode="External"/><Relationship Id="rId138" Type="http://schemas.openxmlformats.org/officeDocument/2006/relationships/hyperlink" Target="https://www.goodreads.com/book/show/60586540-reject-me" TargetMode="External"/><Relationship Id="rId259" Type="http://schemas.openxmlformats.org/officeDocument/2006/relationships/hyperlink" Target="https://www.goodreads.com/book/show/63292425-the-understatement-of-the-year" TargetMode="External"/><Relationship Id="rId137" Type="http://schemas.openxmlformats.org/officeDocument/2006/relationships/hyperlink" Target="https://www.goodreads.com/book/show/41959108-honeymoon-for-one" TargetMode="External"/><Relationship Id="rId258" Type="http://schemas.openxmlformats.org/officeDocument/2006/relationships/hyperlink" Target="https://www.goodreads.com/book/show/63066942-a-manny-for-christmas?from_search=true&amp;from_srp=true&amp;qid=eUNbtQdojq&amp;rank=1" TargetMode="External"/><Relationship Id="rId132" Type="http://schemas.openxmlformats.org/officeDocument/2006/relationships/hyperlink" Target="https://www.goodreads.com/en/book/show/58087471" TargetMode="External"/><Relationship Id="rId253" Type="http://schemas.openxmlformats.org/officeDocument/2006/relationships/hyperlink" Target="https://www.goodreads.com/book/show/52231217-broken-earth" TargetMode="External"/><Relationship Id="rId131" Type="http://schemas.openxmlformats.org/officeDocument/2006/relationships/hyperlink" Target="https://www.goodreads.com/book/show/61405436-hurricane-ryan" TargetMode="External"/><Relationship Id="rId252" Type="http://schemas.openxmlformats.org/officeDocument/2006/relationships/hyperlink" Target="https://www.goodreads.com/book/show/17750250-animate-me" TargetMode="External"/><Relationship Id="rId130" Type="http://schemas.openxmlformats.org/officeDocument/2006/relationships/hyperlink" Target="https://www.goodreads.com/book/show/25880375-hold-your-breath" TargetMode="External"/><Relationship Id="rId251" Type="http://schemas.openxmlformats.org/officeDocument/2006/relationships/hyperlink" Target="https://www.goodreads.com/book/show/58189829-worse-guy" TargetMode="External"/><Relationship Id="rId250" Type="http://schemas.openxmlformats.org/officeDocument/2006/relationships/hyperlink" Target="https://www.goodreads.com/book/show/25128811-ice-planet-barbarians" TargetMode="External"/><Relationship Id="rId136" Type="http://schemas.openxmlformats.org/officeDocument/2006/relationships/hyperlink" Target="https://www.goodreads.com/book/show/36436294-kidnapped-by-the-pirate" TargetMode="External"/><Relationship Id="rId257" Type="http://schemas.openxmlformats.org/officeDocument/2006/relationships/hyperlink" Target="https://www.goodreads.com/book/show/208503278-keep-me" TargetMode="External"/><Relationship Id="rId135" Type="http://schemas.openxmlformats.org/officeDocument/2006/relationships/hyperlink" Target="https://www.goodreads.com/book/show/49207142-sleeper" TargetMode="External"/><Relationship Id="rId256" Type="http://schemas.openxmlformats.org/officeDocument/2006/relationships/hyperlink" Target="https://www.goodreads.com/book/show/55529084" TargetMode="External"/><Relationship Id="rId134" Type="http://schemas.openxmlformats.org/officeDocument/2006/relationships/hyperlink" Target="https://www.goodreads.com/book/show/43899242-come-back-to-bed" TargetMode="External"/><Relationship Id="rId255" Type="http://schemas.openxmlformats.org/officeDocument/2006/relationships/hyperlink" Target="https://www.goodreads.com/book/show/42403496-queen-of-klutz" TargetMode="External"/><Relationship Id="rId133" Type="http://schemas.openxmlformats.org/officeDocument/2006/relationships/hyperlink" Target="https://www.goodreads.com/book/show/54959891-a-very-bossy-christmas" TargetMode="External"/><Relationship Id="rId254" Type="http://schemas.openxmlformats.org/officeDocument/2006/relationships/hyperlink" Target="https://www.goodreads.com/series/312397-sleet" TargetMode="External"/><Relationship Id="rId62" Type="http://schemas.openxmlformats.org/officeDocument/2006/relationships/hyperlink" Target="https://www.goodreads.com/book/show/51157394-a-king-so-cold" TargetMode="External"/><Relationship Id="rId61" Type="http://schemas.openxmlformats.org/officeDocument/2006/relationships/hyperlink" Target="https://www.goodreads.com/book/show/60062931-the-devil-you-know" TargetMode="External"/><Relationship Id="rId64" Type="http://schemas.openxmlformats.org/officeDocument/2006/relationships/hyperlink" Target="https://www.goodreads.com/book/show/45694898-marriage-for-one" TargetMode="External"/><Relationship Id="rId63" Type="http://schemas.openxmlformats.org/officeDocument/2006/relationships/hyperlink" Target="https://www.goodreads.com/book/show/39880512-the-hardest-fall" TargetMode="External"/><Relationship Id="rId66" Type="http://schemas.openxmlformats.org/officeDocument/2006/relationships/hyperlink" Target="https://www.goodreads.com/book/show/60755618-flawless" TargetMode="External"/><Relationship Id="rId172" Type="http://schemas.openxmlformats.org/officeDocument/2006/relationships/hyperlink" Target="https://www.goodreads.com/book/show/213860478-guarded-by-the-phantom" TargetMode="External"/><Relationship Id="rId293" Type="http://schemas.openxmlformats.org/officeDocument/2006/relationships/hyperlink" Target="https://www.goodreads.com/book/show/56932944-homewrecker" TargetMode="External"/><Relationship Id="rId65" Type="http://schemas.openxmlformats.org/officeDocument/2006/relationships/hyperlink" Target="https://www.goodreads.com/book/show/20979029-artistic-license" TargetMode="External"/><Relationship Id="rId171" Type="http://schemas.openxmlformats.org/officeDocument/2006/relationships/hyperlink" Target="https://www.goodreads.com/book/show/202289210-guarded-by-the-snake" TargetMode="External"/><Relationship Id="rId292" Type="http://schemas.openxmlformats.org/officeDocument/2006/relationships/hyperlink" Target="https://www.goodreads.com/book/show/62126935-surrendering-to-scylla" TargetMode="External"/><Relationship Id="rId68" Type="http://schemas.openxmlformats.org/officeDocument/2006/relationships/hyperlink" Target="https://www.goodreads.com/book/show/43659471-marquess-to-a-flame" TargetMode="External"/><Relationship Id="rId170" Type="http://schemas.openxmlformats.org/officeDocument/2006/relationships/hyperlink" Target="https://www.goodreads.com/book/show/30200464-ball-peen-hammer" TargetMode="External"/><Relationship Id="rId291" Type="http://schemas.openxmlformats.org/officeDocument/2006/relationships/hyperlink" Target="https://www.goodreads.com/book/show/52850847-the-best-man" TargetMode="External"/><Relationship Id="rId67" Type="http://schemas.openxmlformats.org/officeDocument/2006/relationships/hyperlink" Target="https://www.goodreads.com/book/show/36318640-an-earl-in-wolf-s-clothing" TargetMode="External"/><Relationship Id="rId290" Type="http://schemas.openxmlformats.org/officeDocument/2006/relationships/hyperlink" Target="https://www.goodreads.com/book/show/124965496-claimed-by-the-cthulhu" TargetMode="External"/><Relationship Id="rId60" Type="http://schemas.openxmlformats.org/officeDocument/2006/relationships/hyperlink" Target="https://www.goodreads.com/book/show/27865167-within-her-words" TargetMode="External"/><Relationship Id="rId165" Type="http://schemas.openxmlformats.org/officeDocument/2006/relationships/hyperlink" Target="https://www.goodreads.com/book/show/49390139-war" TargetMode="External"/><Relationship Id="rId286" Type="http://schemas.openxmlformats.org/officeDocument/2006/relationships/hyperlink" Target="https://www.goodreads.com/book/show/25887352-ruth-s-bonded" TargetMode="External"/><Relationship Id="rId69" Type="http://schemas.openxmlformats.org/officeDocument/2006/relationships/hyperlink" Target="https://www.goodreads.com/book/show/41450826-someday-someday" TargetMode="External"/><Relationship Id="rId164" Type="http://schemas.openxmlformats.org/officeDocument/2006/relationships/hyperlink" Target="https://www.goodreads.com/book/show/41831210-pestilence" TargetMode="External"/><Relationship Id="rId285" Type="http://schemas.openxmlformats.org/officeDocument/2006/relationships/hyperlink" Target="https://www.goodreads.com/book/show/32758410-born-darkly" TargetMode="External"/><Relationship Id="rId163" Type="http://schemas.openxmlformats.org/officeDocument/2006/relationships/hyperlink" Target="https://www.goodreads.com/book/show/49480530-famine" TargetMode="External"/><Relationship Id="rId284" Type="http://schemas.openxmlformats.org/officeDocument/2006/relationships/hyperlink" Target="https://www.goodreads.com/book/show/202342950-a-major-motion-christmas" TargetMode="External"/><Relationship Id="rId162" Type="http://schemas.openxmlformats.org/officeDocument/2006/relationships/hyperlink" Target="https://www.goodreads.com/book/show/52525171-worth-the-wait" TargetMode="External"/><Relationship Id="rId283" Type="http://schemas.openxmlformats.org/officeDocument/2006/relationships/hyperlink" Target="https://www.goodreads.com/book/show/19822079-the-best-medicine" TargetMode="External"/><Relationship Id="rId169" Type="http://schemas.openxmlformats.org/officeDocument/2006/relationships/hyperlink" Target="https://www.goodreads.com/en/book/show/32841117-huge-deal" TargetMode="External"/><Relationship Id="rId168" Type="http://schemas.openxmlformats.org/officeDocument/2006/relationships/hyperlink" Target="https://www.goodreads.com/book/show/86767939" TargetMode="External"/><Relationship Id="rId289" Type="http://schemas.openxmlformats.org/officeDocument/2006/relationships/hyperlink" Target="https://www.goodreads.com/book/show/51479476" TargetMode="External"/><Relationship Id="rId167" Type="http://schemas.openxmlformats.org/officeDocument/2006/relationships/hyperlink" Target="https://www.goodreads.com/book/show/77267196" TargetMode="External"/><Relationship Id="rId288" Type="http://schemas.openxmlformats.org/officeDocument/2006/relationships/hyperlink" Target="https://www.goodreads.com/book/show/97459787-sweet-vengeance" TargetMode="External"/><Relationship Id="rId166" Type="http://schemas.openxmlformats.org/officeDocument/2006/relationships/hyperlink" Target="https://www.goodreads.com/book/show/53058846-throttled" TargetMode="External"/><Relationship Id="rId287" Type="http://schemas.openxmlformats.org/officeDocument/2006/relationships/hyperlink" Target="https://www.goodreads.com/book/show/33139830-the-e-t-guy" TargetMode="External"/><Relationship Id="rId51" Type="http://schemas.openxmlformats.org/officeDocument/2006/relationships/hyperlink" Target="https://www.goodreads.com/book/show/218022571-power-play" TargetMode="External"/><Relationship Id="rId50" Type="http://schemas.openxmlformats.org/officeDocument/2006/relationships/hyperlink" Target="https://www.goodreads.com/book/show/59725768-against-a-wall" TargetMode="External"/><Relationship Id="rId53" Type="http://schemas.openxmlformats.org/officeDocument/2006/relationships/hyperlink" Target="https://www.goodreads.com/book/show/59026826" TargetMode="External"/><Relationship Id="rId52" Type="http://schemas.openxmlformats.org/officeDocument/2006/relationships/hyperlink" Target="https://www.goodreads.com/book/show/44788569-the-sea-ain-t-mine-alone?ac=1&amp;from_search=true&amp;qid=EuCtQJ0mqg&amp;rank=1" TargetMode="External"/><Relationship Id="rId55" Type="http://schemas.openxmlformats.org/officeDocument/2006/relationships/hyperlink" Target="https://www.goodreads.com/book/show/169992.All_Through_the_Night" TargetMode="External"/><Relationship Id="rId161" Type="http://schemas.openxmlformats.org/officeDocument/2006/relationships/hyperlink" Target="https://www.goodreads.com/book/show/52316904-trouble-strife" TargetMode="External"/><Relationship Id="rId282" Type="http://schemas.openxmlformats.org/officeDocument/2006/relationships/hyperlink" Target="https://www.goodreads.com/book/show/15781910-highland-surrender" TargetMode="External"/><Relationship Id="rId54" Type="http://schemas.openxmlformats.org/officeDocument/2006/relationships/hyperlink" Target="https://www.goodreads.com/series/271197-bluewater-billionaires" TargetMode="External"/><Relationship Id="rId160" Type="http://schemas.openxmlformats.org/officeDocument/2006/relationships/hyperlink" Target="https://www.goodreads.com/book/show/50695561-hammer-tongs-chances-limited-book-1" TargetMode="External"/><Relationship Id="rId281" Type="http://schemas.openxmlformats.org/officeDocument/2006/relationships/hyperlink" Target="https://www.goodreads.com/book/show/17204568-crazy-little-thing" TargetMode="External"/><Relationship Id="rId57" Type="http://schemas.openxmlformats.org/officeDocument/2006/relationships/hyperlink" Target="https://www.goodreads.com/book/show/32920009-merry-christmas-mr-miggles" TargetMode="External"/><Relationship Id="rId280" Type="http://schemas.openxmlformats.org/officeDocument/2006/relationships/hyperlink" Target="https://www.goodreads.com/book/show/25630718-heart-shaped-hack" TargetMode="External"/><Relationship Id="rId56" Type="http://schemas.openxmlformats.org/officeDocument/2006/relationships/hyperlink" Target="https://www.goodreads.com/book/show/41432775-soldier-boy" TargetMode="External"/><Relationship Id="rId159" Type="http://schemas.openxmlformats.org/officeDocument/2006/relationships/hyperlink" Target="https://www.goodreads.com/book/show/53345432-budding-romance" TargetMode="External"/><Relationship Id="rId59" Type="http://schemas.openxmlformats.org/officeDocument/2006/relationships/hyperlink" Target="https://www.goodreads.com/book/show/55626358-a-deal-with-the-elf-king" TargetMode="External"/><Relationship Id="rId154" Type="http://schemas.openxmlformats.org/officeDocument/2006/relationships/hyperlink" Target="https://www.goodreads.com/book/show/163548254-married-to-the-alien-rogue" TargetMode="External"/><Relationship Id="rId275" Type="http://schemas.openxmlformats.org/officeDocument/2006/relationships/hyperlink" Target="https://www.goodreads.com/book/show/61848341-gravity" TargetMode="External"/><Relationship Id="rId58" Type="http://schemas.openxmlformats.org/officeDocument/2006/relationships/hyperlink" Target="https://www.goodreads.com/book/show/45303273-ever-yours-annabelle" TargetMode="External"/><Relationship Id="rId153" Type="http://schemas.openxmlformats.org/officeDocument/2006/relationships/hyperlink" Target="https://www.goodreads.com/book/show/125689096-wanted-by-the-alien-rogue" TargetMode="External"/><Relationship Id="rId274" Type="http://schemas.openxmlformats.org/officeDocument/2006/relationships/hyperlink" Target="https://www.goodreads.com/book/show/12156759-bear-otter-and-the-kid" TargetMode="External"/><Relationship Id="rId152" Type="http://schemas.openxmlformats.org/officeDocument/2006/relationships/hyperlink" Target="https://www.goodreads.com/book/show/122781604-taken-by-the-alien-rogue" TargetMode="External"/><Relationship Id="rId273" Type="http://schemas.openxmlformats.org/officeDocument/2006/relationships/hyperlink" Target="https://www.goodreads.com/book/show/214249697-daydreamer" TargetMode="External"/><Relationship Id="rId151" Type="http://schemas.openxmlformats.org/officeDocument/2006/relationships/hyperlink" Target="https://www.goodreads.com/book/show/81070436-claimed-by-the-alien-rogue" TargetMode="External"/><Relationship Id="rId272" Type="http://schemas.openxmlformats.org/officeDocument/2006/relationships/hyperlink" Target="https://www.goodreads.com/en/book/show/40883639" TargetMode="External"/><Relationship Id="rId158" Type="http://schemas.openxmlformats.org/officeDocument/2006/relationships/hyperlink" Target="https://www.goodreads.com/book/show/30839185-vicious" TargetMode="External"/><Relationship Id="rId279" Type="http://schemas.openxmlformats.org/officeDocument/2006/relationships/hyperlink" Target="https://www.goodreads.com/book/show/45701029-teardrop-shot" TargetMode="External"/><Relationship Id="rId157" Type="http://schemas.openxmlformats.org/officeDocument/2006/relationships/hyperlink" Target="https://www.goodreads.com/en/book/show/46038707-the-hunter" TargetMode="External"/><Relationship Id="rId278" Type="http://schemas.openxmlformats.org/officeDocument/2006/relationships/hyperlink" Target="https://www.goodreads.com/book/show/49047293-enemies" TargetMode="External"/><Relationship Id="rId156" Type="http://schemas.openxmlformats.org/officeDocument/2006/relationships/hyperlink" Target="https://www.goodreads.com/book/show/55685450-in-love-and-war" TargetMode="External"/><Relationship Id="rId277" Type="http://schemas.openxmlformats.org/officeDocument/2006/relationships/hyperlink" Target="https://www.goodreads.com/book/show/44222846-bennett-mafia" TargetMode="External"/><Relationship Id="rId155" Type="http://schemas.openxmlformats.org/officeDocument/2006/relationships/hyperlink" Target="https://www.goodreads.com/book/show/206056327-bound-to-the-orc-warlord" TargetMode="External"/><Relationship Id="rId276" Type="http://schemas.openxmlformats.org/officeDocument/2006/relationships/hyperlink" Target="https://www.goodreads.com/book/show/37685787-treasure-of-the-abyss" TargetMode="External"/><Relationship Id="rId107" Type="http://schemas.openxmlformats.org/officeDocument/2006/relationships/hyperlink" Target="https://www.goodreads.com/book/show/4026396-broken-wing" TargetMode="External"/><Relationship Id="rId228" Type="http://schemas.openxmlformats.org/officeDocument/2006/relationships/hyperlink" Target="https://www.goodreads.com/book/show/49160345-dark-russian-angel" TargetMode="External"/><Relationship Id="rId106" Type="http://schemas.openxmlformats.org/officeDocument/2006/relationships/hyperlink" Target="https://www.goodreads.com/en/book/show/77602023" TargetMode="External"/><Relationship Id="rId227" Type="http://schemas.openxmlformats.org/officeDocument/2006/relationships/hyperlink" Target="https://www.goodreads.com/book/show/198717640-cruel-paradise" TargetMode="External"/><Relationship Id="rId105" Type="http://schemas.openxmlformats.org/officeDocument/2006/relationships/hyperlink" Target="https://www.goodreads.com/book/show/60192737-pen-pal?ref=nav_sb_ss_1_12" TargetMode="External"/><Relationship Id="rId226" Type="http://schemas.openxmlformats.org/officeDocument/2006/relationships/hyperlink" Target="https://www.goodreads.com/book/show/46201805-stay-with-me" TargetMode="External"/><Relationship Id="rId104" Type="http://schemas.openxmlformats.org/officeDocument/2006/relationships/hyperlink" Target="https://www.goodreads.com/book/show/36600352-eirik" TargetMode="External"/><Relationship Id="rId225" Type="http://schemas.openxmlformats.org/officeDocument/2006/relationships/hyperlink" Target="https://www.goodreads.com/book/show/37916608-shimmy-bang-sparkle" TargetMode="External"/><Relationship Id="rId109" Type="http://schemas.openxmlformats.org/officeDocument/2006/relationships/hyperlink" Target="https://www.goodreads.com/book/show/17947475-the-highwayman" TargetMode="External"/><Relationship Id="rId108" Type="http://schemas.openxmlformats.org/officeDocument/2006/relationships/hyperlink" Target="https://www.goodreads.com/book/show/22840237-libertine-s-kiss" TargetMode="External"/><Relationship Id="rId229" Type="http://schemas.openxmlformats.org/officeDocument/2006/relationships/hyperlink" Target="https://www.goodreads.com/book/show/45170561-home-game" TargetMode="External"/><Relationship Id="rId220" Type="http://schemas.openxmlformats.org/officeDocument/2006/relationships/hyperlink" Target="https://www.goodreads.com/book/show/57114654-rescue" TargetMode="External"/><Relationship Id="rId103" Type="http://schemas.openxmlformats.org/officeDocument/2006/relationships/hyperlink" Target="https://www.goodreads.com/book/show/45038064-the-summer-duke" TargetMode="External"/><Relationship Id="rId224" Type="http://schemas.openxmlformats.org/officeDocument/2006/relationships/hyperlink" Target="https://www.goodreads.com/book/show/40273357-do-you-feel-it-too" TargetMode="External"/><Relationship Id="rId102" Type="http://schemas.openxmlformats.org/officeDocument/2006/relationships/hyperlink" Target="https://www.goodreads.com/book/show/520543.Wild" TargetMode="External"/><Relationship Id="rId223" Type="http://schemas.openxmlformats.org/officeDocument/2006/relationships/hyperlink" Target="https://www.goodreads.com/book/show/31697989-the-wingman" TargetMode="External"/><Relationship Id="rId101" Type="http://schemas.openxmlformats.org/officeDocument/2006/relationships/hyperlink" Target="https://www.goodreads.com/book/show/520541.Wicked" TargetMode="External"/><Relationship Id="rId222" Type="http://schemas.openxmlformats.org/officeDocument/2006/relationships/hyperlink" Target="https://www.goodreads.com/book/show/34342184-imago" TargetMode="External"/><Relationship Id="rId100" Type="http://schemas.openxmlformats.org/officeDocument/2006/relationships/hyperlink" Target="https://www.goodreads.com/book/show/147981840-visions-of-scarlett" TargetMode="External"/><Relationship Id="rId221" Type="http://schemas.openxmlformats.org/officeDocument/2006/relationships/hyperlink" Target="https://www.goodreads.com/book/show/40627465-galaxies-and-oceans" TargetMode="External"/><Relationship Id="rId217" Type="http://schemas.openxmlformats.org/officeDocument/2006/relationships/hyperlink" Target="https://www.goodreads.com/book/show/25615831-dark-horse" TargetMode="External"/><Relationship Id="rId216" Type="http://schemas.openxmlformats.org/officeDocument/2006/relationships/hyperlink" Target="https://www.goodreads.com/book/show/48705791-the-boyfriend-tune-up" TargetMode="External"/><Relationship Id="rId215" Type="http://schemas.openxmlformats.org/officeDocument/2006/relationships/hyperlink" Target="https://www.goodreads.com/book/show/42606944-the-wish-collector" TargetMode="External"/><Relationship Id="rId214" Type="http://schemas.openxmlformats.org/officeDocument/2006/relationships/hyperlink" Target="https://www.goodreads.com/book/show/45714792-savaged" TargetMode="External"/><Relationship Id="rId219" Type="http://schemas.openxmlformats.org/officeDocument/2006/relationships/hyperlink" Target="https://www.goodreads.com/book/show/61195387-tis-the-season-for-revenge" TargetMode="External"/><Relationship Id="rId218" Type="http://schemas.openxmlformats.org/officeDocument/2006/relationships/hyperlink" Target="https://www.goodreads.com/book/show/60638222-snowed-in-with-benefits" TargetMode="External"/><Relationship Id="rId213" Type="http://schemas.openxmlformats.org/officeDocument/2006/relationships/hyperlink" Target="https://www.goodreads.com/book/show/56794221" TargetMode="External"/><Relationship Id="rId212" Type="http://schemas.openxmlformats.org/officeDocument/2006/relationships/hyperlink" Target="https://www.goodreads.com/book/show/44036410-over-the-fence" TargetMode="External"/><Relationship Id="rId211" Type="http://schemas.openxmlformats.org/officeDocument/2006/relationships/hyperlink" Target="https://www.goodreads.com/book/show/36889238-bentley" TargetMode="External"/><Relationship Id="rId210" Type="http://schemas.openxmlformats.org/officeDocument/2006/relationships/hyperlink" Target="https://www.goodreads.com/book/show/21474459-frenched" TargetMode="External"/><Relationship Id="rId129" Type="http://schemas.openxmlformats.org/officeDocument/2006/relationships/hyperlink" Target="https://www.goodreads.com/book/show/51786773-behind-the-veil" TargetMode="External"/><Relationship Id="rId128" Type="http://schemas.openxmlformats.org/officeDocument/2006/relationships/hyperlink" Target="https://www.goodreads.com/book/show/51051801-wild-open-hearts" TargetMode="External"/><Relationship Id="rId249" Type="http://schemas.openxmlformats.org/officeDocument/2006/relationships/hyperlink" Target="https://www.goodreads.com/book/show/50841330-bound-to-the-battle-god" TargetMode="External"/><Relationship Id="rId127" Type="http://schemas.openxmlformats.org/officeDocument/2006/relationships/hyperlink" Target="https://www.goodreads.com/book/show/58756087-the-company-of-fiends" TargetMode="External"/><Relationship Id="rId248" Type="http://schemas.openxmlformats.org/officeDocument/2006/relationships/hyperlink" Target="https://www.goodreads.com/book/show/57896916-the-beneath-behind-the-wall-1" TargetMode="External"/><Relationship Id="rId126" Type="http://schemas.openxmlformats.org/officeDocument/2006/relationships/hyperlink" Target="https://www.goodreads.com/book/show/53418968-lola-the-millionaires" TargetMode="External"/><Relationship Id="rId247" Type="http://schemas.openxmlformats.org/officeDocument/2006/relationships/hyperlink" Target="https://www.goodreads.com/book/show/57520528-dead-wolf-walking" TargetMode="External"/><Relationship Id="rId121" Type="http://schemas.openxmlformats.org/officeDocument/2006/relationships/hyperlink" Target="https://www.goodreads.com/book/show/54776844-burning-hope" TargetMode="External"/><Relationship Id="rId242" Type="http://schemas.openxmlformats.org/officeDocument/2006/relationships/hyperlink" Target="https://www.goodreads.com/book/show/44182029-make-me-bad" TargetMode="External"/><Relationship Id="rId120" Type="http://schemas.openxmlformats.org/officeDocument/2006/relationships/hyperlink" Target="https://www.goodreads.com/book/show/59430686-love-laugh-lich" TargetMode="External"/><Relationship Id="rId241" Type="http://schemas.openxmlformats.org/officeDocument/2006/relationships/hyperlink" Target="https://www.goodreads.com/book/show/31823218-a-place-in-the-sun" TargetMode="External"/><Relationship Id="rId240" Type="http://schemas.openxmlformats.org/officeDocument/2006/relationships/hyperlink" Target="https://www.goodreads.com/book/show/27228341-land-of-the-beautiful-dead" TargetMode="External"/><Relationship Id="rId125" Type="http://schemas.openxmlformats.org/officeDocument/2006/relationships/hyperlink" Target="https://www.goodreads.com/book/show/53418962-lola-the-millionaires" TargetMode="External"/><Relationship Id="rId246" Type="http://schemas.openxmlformats.org/officeDocument/2006/relationships/hyperlink" Target="https://www.goodreads.com/book/show/45484739-heart-and-hand" TargetMode="External"/><Relationship Id="rId124" Type="http://schemas.openxmlformats.org/officeDocument/2006/relationships/hyperlink" Target="https://www.goodreads.com/book/show/56574777-a-lady-of-rooksgrave-manor" TargetMode="External"/><Relationship Id="rId245" Type="http://schemas.openxmlformats.org/officeDocument/2006/relationships/hyperlink" Target="https://www.goodreads.com/book/show/54950941-the-experiment" TargetMode="External"/><Relationship Id="rId123" Type="http://schemas.openxmlformats.org/officeDocument/2006/relationships/hyperlink" Target="https://www.goodreads.com/book/show/216296627-doctor-d-arco-sorcerer-of-london" TargetMode="External"/><Relationship Id="rId244" Type="http://schemas.openxmlformats.org/officeDocument/2006/relationships/hyperlink" Target="https://www.goodreads.com/book/show/60686667-her-band-of-rakes" TargetMode="External"/><Relationship Id="rId122" Type="http://schemas.openxmlformats.org/officeDocument/2006/relationships/hyperlink" Target="https://www.goodreads.com/book/show/60727228-of-visions-secrets" TargetMode="External"/><Relationship Id="rId243" Type="http://schemas.openxmlformats.org/officeDocument/2006/relationships/hyperlink" Target="https://www.goodreads.com/book/show/41051411-not-so-nice-guy" TargetMode="External"/><Relationship Id="rId95" Type="http://schemas.openxmlformats.org/officeDocument/2006/relationships/hyperlink" Target="https://www.goodreads.com/book/show/123735338-plier" TargetMode="External"/><Relationship Id="rId94" Type="http://schemas.openxmlformats.org/officeDocument/2006/relationships/hyperlink" Target="https://www.goodreads.com/book/show/36196052-the-rules" TargetMode="External"/><Relationship Id="rId97" Type="http://schemas.openxmlformats.org/officeDocument/2006/relationships/hyperlink" Target="https://www.goodreads.com/book/show/61615903-come-as-you-are?ac=1&amp;from_search=true&amp;qid=BiLv69ZOVB&amp;rank=1" TargetMode="External"/><Relationship Id="rId96" Type="http://schemas.openxmlformats.org/officeDocument/2006/relationships/hyperlink" Target="https://www.goodreads.com/book/show/22366313" TargetMode="External"/><Relationship Id="rId99" Type="http://schemas.openxmlformats.org/officeDocument/2006/relationships/hyperlink" Target="https://www.goodreads.com/book/show/33950707-14-weeks" TargetMode="External"/><Relationship Id="rId98" Type="http://schemas.openxmlformats.org/officeDocument/2006/relationships/hyperlink" Target="https://www.goodreads.com/book/show/35662096-polaris-rising" TargetMode="External"/><Relationship Id="rId91" Type="http://schemas.openxmlformats.org/officeDocument/2006/relationships/hyperlink" Target="https://www.goodreads.com/book/show/50385976-saving-askara" TargetMode="External"/><Relationship Id="rId90" Type="http://schemas.openxmlformats.org/officeDocument/2006/relationships/hyperlink" Target="https://www.goodreads.com/book/show/50900667-dear-ava" TargetMode="External"/><Relationship Id="rId93" Type="http://schemas.openxmlformats.org/officeDocument/2006/relationships/hyperlink" Target="https://www.goodreads.com/book/show/52838537-rules-of-engagement" TargetMode="External"/><Relationship Id="rId92" Type="http://schemas.openxmlformats.org/officeDocument/2006/relationships/hyperlink" Target="https://www.goodreads.com/book/show/36564103-melt-for-you" TargetMode="External"/><Relationship Id="rId118" Type="http://schemas.openxmlformats.org/officeDocument/2006/relationships/hyperlink" Target="https://www.goodreads.com/book/show/35717661-beginner-s-luck" TargetMode="External"/><Relationship Id="rId239" Type="http://schemas.openxmlformats.org/officeDocument/2006/relationships/hyperlink" Target="https://www.goodreads.com/book/show/17563213-cottonwood" TargetMode="External"/><Relationship Id="rId117" Type="http://schemas.openxmlformats.org/officeDocument/2006/relationships/hyperlink" Target="https://www.goodreads.com/book/show/40311534-hard-pressed" TargetMode="External"/><Relationship Id="rId238" Type="http://schemas.openxmlformats.org/officeDocument/2006/relationships/hyperlink" Target="https://www.goodreads.com/book/show/18589656-the-last-hour-of-gann" TargetMode="External"/><Relationship Id="rId116" Type="http://schemas.openxmlformats.org/officeDocument/2006/relationships/hyperlink" Target="https://www.goodreads.com/book/show/35919933-fresh-catch" TargetMode="External"/><Relationship Id="rId237" Type="http://schemas.openxmlformats.org/officeDocument/2006/relationships/hyperlink" Target="https://www.goodreads.com/book/show/56381931-while-you-were-creeping" TargetMode="External"/><Relationship Id="rId115" Type="http://schemas.openxmlformats.org/officeDocument/2006/relationships/hyperlink" Target="https://www.goodreads.com/book/show/23486111-underneath-it-all" TargetMode="External"/><Relationship Id="rId236" Type="http://schemas.openxmlformats.org/officeDocument/2006/relationships/hyperlink" Target="https://www.goodreads.com/book/show/43448175-hosed" TargetMode="External"/><Relationship Id="rId119" Type="http://schemas.openxmlformats.org/officeDocument/2006/relationships/hyperlink" Target="https://www.goodreads.com/book/show/61881902-the-orc-from-the-office" TargetMode="External"/><Relationship Id="rId110" Type="http://schemas.openxmlformats.org/officeDocument/2006/relationships/hyperlink" Target="https://www.goodreads.com/book/show/61862466" TargetMode="External"/><Relationship Id="rId231" Type="http://schemas.openxmlformats.org/officeDocument/2006/relationships/hyperlink" Target="https://www.goodreads.com/book/show/54592300-heart-s-prisoner" TargetMode="External"/><Relationship Id="rId230" Type="http://schemas.openxmlformats.org/officeDocument/2006/relationships/hyperlink" Target="https://www.goodreads.com/book/show/49962326-the-penalty-box" TargetMode="External"/><Relationship Id="rId114" Type="http://schemas.openxmlformats.org/officeDocument/2006/relationships/hyperlink" Target="https://www.goodreads.com/book/show/60884178-forget-me-not?ac=1&amp;from_search=true&amp;qid=hbsjDbrfyR&amp;rank=1" TargetMode="External"/><Relationship Id="rId235" Type="http://schemas.openxmlformats.org/officeDocument/2006/relationships/hyperlink" Target="https://www.goodreads.com/book/show/48572514-crazy-for-loving-you" TargetMode="External"/><Relationship Id="rId113" Type="http://schemas.openxmlformats.org/officeDocument/2006/relationships/hyperlink" Target="https://www.goodreads.com/book/show/38659522-the-swedish-prince" TargetMode="External"/><Relationship Id="rId234" Type="http://schemas.openxmlformats.org/officeDocument/2006/relationships/hyperlink" Target="https://www.goodreads.com/book/show/49084724-credence" TargetMode="External"/><Relationship Id="rId112" Type="http://schemas.openxmlformats.org/officeDocument/2006/relationships/hyperlink" Target="https://www.goodreads.com/book/show/53544752-den-of-vipers" TargetMode="External"/><Relationship Id="rId233" Type="http://schemas.openxmlformats.org/officeDocument/2006/relationships/hyperlink" Target="https://www.goodreads.com/book/show/203048501-geordie" TargetMode="External"/><Relationship Id="rId111" Type="http://schemas.openxmlformats.org/officeDocument/2006/relationships/hyperlink" Target="https://www.goodreads.com/book/show/53337011-dishing-up-love" TargetMode="External"/><Relationship Id="rId232" Type="http://schemas.openxmlformats.org/officeDocument/2006/relationships/hyperlink" Target="https://www.goodreads.com/book/show/49493150-simple-jess" TargetMode="External"/><Relationship Id="rId302" Type="http://schemas.openxmlformats.org/officeDocument/2006/relationships/drawing" Target="../drawings/drawing3.xml"/><Relationship Id="rId308" Type="http://schemas.openxmlformats.org/officeDocument/2006/relationships/table" Target="../tables/table3.xml"/><Relationship Id="rId307" Type="http://schemas.openxmlformats.org/officeDocument/2006/relationships/table" Target="../tables/table2.xml"/><Relationship Id="rId306" Type="http://schemas.openxmlformats.org/officeDocument/2006/relationships/table" Target="../tables/table1.xml"/><Relationship Id="rId301" Type="http://schemas.openxmlformats.org/officeDocument/2006/relationships/hyperlink" Target="https://www.goodreads.com/book/show/51225436-love-language" TargetMode="External"/><Relationship Id="rId300" Type="http://schemas.openxmlformats.org/officeDocument/2006/relationships/hyperlink" Target="https://www.goodreads.com/book/show/127924695-garron-park" TargetMode="External"/><Relationship Id="rId206" Type="http://schemas.openxmlformats.org/officeDocument/2006/relationships/hyperlink" Target="https://www.goodreads.com/book/show/42883009-luna-and-the-lie" TargetMode="External"/><Relationship Id="rId205" Type="http://schemas.openxmlformats.org/officeDocument/2006/relationships/hyperlink" Target="https://www.goodreads.com/book/show/37683751-from-lukov-with-love" TargetMode="External"/><Relationship Id="rId204" Type="http://schemas.openxmlformats.org/officeDocument/2006/relationships/hyperlink" Target="https://www.goodreads.com/en/book/show/44105905" TargetMode="External"/><Relationship Id="rId203" Type="http://schemas.openxmlformats.org/officeDocument/2006/relationships/hyperlink" Target="https://www.goodreads.com/book/show/42110750-sunshine-and-rain" TargetMode="External"/><Relationship Id="rId209" Type="http://schemas.openxmlformats.org/officeDocument/2006/relationships/hyperlink" Target="https://www.goodreads.com/book/show/33397807-sex-says" TargetMode="External"/><Relationship Id="rId208" Type="http://schemas.openxmlformats.org/officeDocument/2006/relationships/hyperlink" Target="https://www.goodreads.com/book/show/33288638-wait-for-it" TargetMode="External"/><Relationship Id="rId207" Type="http://schemas.openxmlformats.org/officeDocument/2006/relationships/hyperlink" Target="https://www.goodreads.com/book/show/29367958-the-wall-of-winnipeg-and-me" TargetMode="External"/><Relationship Id="rId202" Type="http://schemas.openxmlformats.org/officeDocument/2006/relationships/hyperlink" Target="https://www.goodreads.com/book/show/18660750-the-do-over" TargetMode="External"/><Relationship Id="rId201" Type="http://schemas.openxmlformats.org/officeDocument/2006/relationships/hyperlink" Target="https://www.goodreads.com/book/show/50337348-homebound" TargetMode="External"/><Relationship Id="rId200" Type="http://schemas.openxmlformats.org/officeDocument/2006/relationships/hyperlink" Target="https://www.goodreads.com/en/book/show/261319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9" width="18.88"/>
  </cols>
  <sheetData>
    <row r="1">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t="s">
        <v>19</v>
      </c>
      <c r="U1" s="1" t="s">
        <v>20</v>
      </c>
      <c r="V1" s="2" t="s">
        <v>21</v>
      </c>
      <c r="W1" s="2" t="s">
        <v>22</v>
      </c>
    </row>
    <row r="2">
      <c r="A2" s="3">
        <v>44779.61976091436</v>
      </c>
      <c r="B2" s="2" t="s">
        <v>23</v>
      </c>
      <c r="C2" s="2" t="s">
        <v>24</v>
      </c>
      <c r="D2" s="2" t="s">
        <v>25</v>
      </c>
      <c r="E2" s="2" t="s">
        <v>26</v>
      </c>
      <c r="H2" s="2" t="s">
        <v>27</v>
      </c>
      <c r="I2" s="2" t="s">
        <v>28</v>
      </c>
      <c r="J2" s="2" t="s">
        <v>29</v>
      </c>
      <c r="L2" s="2" t="s">
        <v>30</v>
      </c>
      <c r="N2" s="2"/>
      <c r="O2" s="2" t="s">
        <v>31</v>
      </c>
      <c r="P2" s="2" t="s">
        <v>32</v>
      </c>
      <c r="Q2" s="2" t="s">
        <v>33</v>
      </c>
      <c r="R2" s="2" t="s">
        <v>34</v>
      </c>
      <c r="S2" s="4" t="s">
        <v>35</v>
      </c>
    </row>
    <row r="3">
      <c r="A3" s="3">
        <v>45061.51486243056</v>
      </c>
      <c r="B3" s="2" t="s">
        <v>23</v>
      </c>
      <c r="C3" s="2" t="s">
        <v>36</v>
      </c>
      <c r="D3" s="2" t="s">
        <v>37</v>
      </c>
      <c r="E3" s="2" t="s">
        <v>26</v>
      </c>
      <c r="F3" s="2" t="s">
        <v>38</v>
      </c>
      <c r="H3" s="2" t="s">
        <v>39</v>
      </c>
      <c r="I3" s="2" t="s">
        <v>40</v>
      </c>
      <c r="J3" s="2" t="s">
        <v>41</v>
      </c>
      <c r="K3" s="2" t="s">
        <v>42</v>
      </c>
      <c r="L3" s="2" t="s">
        <v>43</v>
      </c>
      <c r="M3" s="2" t="s">
        <v>44</v>
      </c>
      <c r="N3" s="2" t="s">
        <v>45</v>
      </c>
      <c r="O3" s="2" t="s">
        <v>36</v>
      </c>
      <c r="P3" s="2" t="s">
        <v>46</v>
      </c>
      <c r="R3" s="2" t="s">
        <v>34</v>
      </c>
      <c r="S3" s="4" t="s">
        <v>47</v>
      </c>
    </row>
    <row r="4">
      <c r="A4" s="3">
        <v>45200.69176361111</v>
      </c>
      <c r="B4" s="2" t="s">
        <v>23</v>
      </c>
      <c r="C4" s="2" t="s">
        <v>48</v>
      </c>
      <c r="D4" s="2" t="s">
        <v>49</v>
      </c>
      <c r="E4" s="2" t="s">
        <v>50</v>
      </c>
      <c r="F4" s="2" t="s">
        <v>51</v>
      </c>
      <c r="H4" s="2" t="s">
        <v>52</v>
      </c>
      <c r="I4" s="2" t="s">
        <v>53</v>
      </c>
      <c r="J4" s="2" t="s">
        <v>54</v>
      </c>
      <c r="L4" s="2" t="s">
        <v>55</v>
      </c>
      <c r="M4" s="2" t="s">
        <v>56</v>
      </c>
      <c r="N4" s="2" t="s">
        <v>57</v>
      </c>
      <c r="O4" s="2" t="s">
        <v>58</v>
      </c>
      <c r="P4" s="2" t="s">
        <v>59</v>
      </c>
      <c r="R4" s="2" t="s">
        <v>34</v>
      </c>
      <c r="S4" s="4" t="s">
        <v>60</v>
      </c>
    </row>
    <row r="5">
      <c r="A5" s="3">
        <v>45501.99950232639</v>
      </c>
      <c r="B5" s="2" t="s">
        <v>23</v>
      </c>
      <c r="C5" s="2" t="s">
        <v>61</v>
      </c>
      <c r="D5" s="2" t="s">
        <v>62</v>
      </c>
      <c r="E5" s="2" t="s">
        <v>26</v>
      </c>
      <c r="G5" s="2" t="s">
        <v>63</v>
      </c>
      <c r="H5" s="2" t="s">
        <v>64</v>
      </c>
      <c r="I5" s="2" t="s">
        <v>65</v>
      </c>
      <c r="J5" s="2" t="s">
        <v>66</v>
      </c>
      <c r="K5" s="2" t="s">
        <v>67</v>
      </c>
      <c r="L5" s="2" t="s">
        <v>68</v>
      </c>
      <c r="N5" s="2" t="s">
        <v>57</v>
      </c>
      <c r="O5" s="2" t="s">
        <v>69</v>
      </c>
      <c r="P5" s="2" t="s">
        <v>70</v>
      </c>
      <c r="R5" s="2" t="s">
        <v>34</v>
      </c>
      <c r="S5" s="4" t="s">
        <v>71</v>
      </c>
    </row>
    <row r="6">
      <c r="A6" s="3">
        <v>44779.66672172454</v>
      </c>
      <c r="B6" s="2" t="s">
        <v>23</v>
      </c>
      <c r="C6" s="2" t="s">
        <v>72</v>
      </c>
      <c r="D6" s="2" t="s">
        <v>73</v>
      </c>
      <c r="E6" s="2" t="s">
        <v>26</v>
      </c>
      <c r="H6" s="2" t="s">
        <v>74</v>
      </c>
      <c r="I6" s="2" t="s">
        <v>75</v>
      </c>
      <c r="J6" s="2" t="s">
        <v>76</v>
      </c>
      <c r="L6" s="2" t="s">
        <v>77</v>
      </c>
      <c r="O6" s="2" t="s">
        <v>78</v>
      </c>
      <c r="P6" s="2" t="s">
        <v>79</v>
      </c>
      <c r="R6" s="2" t="s">
        <v>34</v>
      </c>
      <c r="S6" s="4" t="s">
        <v>80</v>
      </c>
    </row>
    <row r="7">
      <c r="A7" s="3">
        <v>44932.97010309028</v>
      </c>
      <c r="B7" s="2" t="s">
        <v>23</v>
      </c>
      <c r="C7" s="2" t="s">
        <v>81</v>
      </c>
      <c r="D7" s="2" t="s">
        <v>82</v>
      </c>
      <c r="E7" s="2" t="s">
        <v>26</v>
      </c>
      <c r="G7" s="2" t="s">
        <v>83</v>
      </c>
      <c r="H7" s="2" t="s">
        <v>64</v>
      </c>
      <c r="I7" s="2" t="s">
        <v>84</v>
      </c>
      <c r="J7" s="2" t="s">
        <v>85</v>
      </c>
      <c r="K7" s="2" t="s">
        <v>67</v>
      </c>
      <c r="L7" s="2" t="s">
        <v>77</v>
      </c>
      <c r="M7" s="2" t="s">
        <v>86</v>
      </c>
      <c r="N7" s="2" t="s">
        <v>87</v>
      </c>
      <c r="P7" s="2" t="s">
        <v>88</v>
      </c>
      <c r="Q7" s="2" t="s">
        <v>89</v>
      </c>
      <c r="R7" s="2" t="s">
        <v>34</v>
      </c>
      <c r="S7" s="4" t="s">
        <v>90</v>
      </c>
    </row>
    <row r="8">
      <c r="A8" s="3">
        <v>44780.57094622686</v>
      </c>
      <c r="B8" s="2" t="s">
        <v>23</v>
      </c>
      <c r="C8" s="2" t="s">
        <v>91</v>
      </c>
      <c r="D8" s="2" t="s">
        <v>92</v>
      </c>
      <c r="E8" s="2" t="s">
        <v>26</v>
      </c>
      <c r="I8" s="2" t="s">
        <v>93</v>
      </c>
      <c r="J8" s="2" t="s">
        <v>94</v>
      </c>
      <c r="L8" s="2" t="s">
        <v>77</v>
      </c>
      <c r="P8" s="2" t="s">
        <v>95</v>
      </c>
      <c r="R8" s="2" t="s">
        <v>34</v>
      </c>
      <c r="S8" s="4" t="s">
        <v>96</v>
      </c>
    </row>
    <row r="9">
      <c r="A9" s="3">
        <v>44780.57294334491</v>
      </c>
      <c r="B9" s="2" t="s">
        <v>23</v>
      </c>
      <c r="C9" s="2" t="s">
        <v>97</v>
      </c>
      <c r="D9" s="2" t="s">
        <v>92</v>
      </c>
      <c r="E9" s="2" t="s">
        <v>26</v>
      </c>
      <c r="H9" s="2" t="s">
        <v>98</v>
      </c>
      <c r="I9" s="2" t="s">
        <v>93</v>
      </c>
      <c r="J9" s="2" t="s">
        <v>99</v>
      </c>
      <c r="L9" s="2" t="s">
        <v>77</v>
      </c>
      <c r="R9" s="2" t="s">
        <v>34</v>
      </c>
      <c r="S9" s="4" t="s">
        <v>100</v>
      </c>
    </row>
    <row r="10">
      <c r="A10" s="3">
        <v>44780.576335868056</v>
      </c>
      <c r="B10" s="2" t="s">
        <v>23</v>
      </c>
      <c r="C10" s="2" t="s">
        <v>101</v>
      </c>
      <c r="D10" s="2" t="s">
        <v>92</v>
      </c>
      <c r="E10" s="2" t="s">
        <v>26</v>
      </c>
      <c r="H10" s="2" t="s">
        <v>98</v>
      </c>
      <c r="I10" s="2" t="s">
        <v>102</v>
      </c>
      <c r="J10" s="2" t="s">
        <v>103</v>
      </c>
      <c r="L10" s="2" t="s">
        <v>43</v>
      </c>
      <c r="N10" s="2" t="s">
        <v>87</v>
      </c>
      <c r="P10" s="2" t="s">
        <v>104</v>
      </c>
      <c r="Q10" s="5" t="s">
        <v>105</v>
      </c>
      <c r="R10" s="2" t="s">
        <v>34</v>
      </c>
      <c r="S10" s="4" t="s">
        <v>106</v>
      </c>
    </row>
    <row r="11">
      <c r="A11" s="3">
        <v>44932.93018304398</v>
      </c>
      <c r="B11" s="2" t="s">
        <v>23</v>
      </c>
      <c r="C11" s="2" t="s">
        <v>107</v>
      </c>
      <c r="D11" s="2" t="s">
        <v>108</v>
      </c>
      <c r="E11" s="2" t="s">
        <v>109</v>
      </c>
      <c r="F11" s="2" t="s">
        <v>51</v>
      </c>
      <c r="H11" s="2" t="s">
        <v>98</v>
      </c>
      <c r="I11" s="2" t="s">
        <v>110</v>
      </c>
      <c r="J11" s="2" t="s">
        <v>111</v>
      </c>
      <c r="L11" s="2" t="s">
        <v>43</v>
      </c>
      <c r="N11" s="2" t="s">
        <v>87</v>
      </c>
      <c r="P11" s="2" t="s">
        <v>112</v>
      </c>
      <c r="Q11" s="2" t="s">
        <v>113</v>
      </c>
      <c r="R11" s="2" t="s">
        <v>34</v>
      </c>
      <c r="S11" s="4" t="s">
        <v>114</v>
      </c>
    </row>
    <row r="12">
      <c r="A12" s="3">
        <v>44780.578533657404</v>
      </c>
      <c r="B12" s="2" t="s">
        <v>23</v>
      </c>
      <c r="C12" s="2" t="s">
        <v>115</v>
      </c>
      <c r="D12" s="2" t="s">
        <v>116</v>
      </c>
      <c r="E12" s="2" t="s">
        <v>26</v>
      </c>
      <c r="H12" s="2" t="s">
        <v>98</v>
      </c>
      <c r="I12" s="2" t="s">
        <v>117</v>
      </c>
      <c r="J12" s="2" t="s">
        <v>118</v>
      </c>
      <c r="L12" s="2" t="s">
        <v>43</v>
      </c>
      <c r="N12" s="2" t="s">
        <v>87</v>
      </c>
      <c r="P12" s="2" t="s">
        <v>88</v>
      </c>
      <c r="R12" s="2" t="s">
        <v>34</v>
      </c>
      <c r="S12" s="4" t="s">
        <v>119</v>
      </c>
    </row>
    <row r="13">
      <c r="A13" s="3">
        <v>44780.58452123843</v>
      </c>
      <c r="B13" s="2" t="s">
        <v>23</v>
      </c>
      <c r="C13" s="2" t="s">
        <v>120</v>
      </c>
      <c r="D13" s="2" t="s">
        <v>121</v>
      </c>
      <c r="E13" s="2" t="s">
        <v>26</v>
      </c>
      <c r="H13" s="2" t="s">
        <v>122</v>
      </c>
      <c r="I13" s="2" t="s">
        <v>84</v>
      </c>
      <c r="J13" s="2" t="s">
        <v>123</v>
      </c>
      <c r="L13" s="2" t="s">
        <v>77</v>
      </c>
      <c r="N13" s="2" t="s">
        <v>87</v>
      </c>
      <c r="P13" s="2" t="s">
        <v>124</v>
      </c>
      <c r="R13" s="2" t="s">
        <v>34</v>
      </c>
      <c r="S13" s="4" t="s">
        <v>125</v>
      </c>
    </row>
    <row r="14">
      <c r="A14" s="3">
        <v>44780.58640357639</v>
      </c>
      <c r="B14" s="2" t="s">
        <v>23</v>
      </c>
      <c r="C14" s="2" t="s">
        <v>126</v>
      </c>
      <c r="D14" s="2" t="s">
        <v>127</v>
      </c>
      <c r="E14" s="2" t="s">
        <v>26</v>
      </c>
      <c r="I14" s="2" t="s">
        <v>75</v>
      </c>
      <c r="J14" s="2" t="s">
        <v>128</v>
      </c>
      <c r="L14" s="2" t="s">
        <v>68</v>
      </c>
      <c r="N14" s="2" t="s">
        <v>87</v>
      </c>
      <c r="P14" s="2" t="s">
        <v>129</v>
      </c>
      <c r="R14" s="2" t="s">
        <v>34</v>
      </c>
      <c r="S14" s="4" t="s">
        <v>130</v>
      </c>
    </row>
    <row r="15">
      <c r="A15" s="3">
        <v>44932.978280428244</v>
      </c>
      <c r="B15" s="2" t="s">
        <v>23</v>
      </c>
      <c r="C15" s="2" t="s">
        <v>131</v>
      </c>
      <c r="D15" s="2" t="s">
        <v>132</v>
      </c>
      <c r="E15" s="2" t="s">
        <v>133</v>
      </c>
      <c r="H15" s="2" t="s">
        <v>134</v>
      </c>
      <c r="I15" s="2" t="s">
        <v>135</v>
      </c>
      <c r="J15" s="2" t="s">
        <v>136</v>
      </c>
      <c r="K15" s="2" t="s">
        <v>67</v>
      </c>
      <c r="L15" s="2" t="s">
        <v>43</v>
      </c>
      <c r="M15" s="2" t="s">
        <v>137</v>
      </c>
      <c r="N15" s="2" t="s">
        <v>57</v>
      </c>
      <c r="O15" s="2" t="s">
        <v>138</v>
      </c>
      <c r="P15" s="2" t="s">
        <v>139</v>
      </c>
      <c r="Q15" s="2" t="s">
        <v>140</v>
      </c>
      <c r="R15" s="2" t="s">
        <v>34</v>
      </c>
      <c r="S15" s="4" t="s">
        <v>141</v>
      </c>
    </row>
    <row r="16">
      <c r="A16" s="3">
        <v>44780.59293142361</v>
      </c>
      <c r="B16" s="2" t="s">
        <v>23</v>
      </c>
      <c r="C16" s="2" t="s">
        <v>142</v>
      </c>
      <c r="D16" s="2" t="s">
        <v>143</v>
      </c>
      <c r="E16" s="2" t="s">
        <v>26</v>
      </c>
      <c r="F16" s="2" t="s">
        <v>144</v>
      </c>
      <c r="I16" s="2" t="s">
        <v>145</v>
      </c>
      <c r="J16" s="2" t="s">
        <v>146</v>
      </c>
      <c r="L16" s="2" t="s">
        <v>68</v>
      </c>
      <c r="P16" s="2" t="s">
        <v>147</v>
      </c>
      <c r="Q16" s="6" t="s">
        <v>148</v>
      </c>
      <c r="R16" s="2" t="s">
        <v>34</v>
      </c>
      <c r="S16" s="4" t="s">
        <v>149</v>
      </c>
    </row>
    <row r="17">
      <c r="A17" s="3">
        <v>44780.59631141204</v>
      </c>
      <c r="B17" s="2" t="s">
        <v>23</v>
      </c>
      <c r="C17" s="2" t="s">
        <v>150</v>
      </c>
      <c r="D17" s="2" t="s">
        <v>151</v>
      </c>
      <c r="E17" s="2" t="s">
        <v>26</v>
      </c>
      <c r="H17" s="2" t="s">
        <v>64</v>
      </c>
      <c r="I17" s="2" t="s">
        <v>152</v>
      </c>
      <c r="J17" s="2" t="s">
        <v>153</v>
      </c>
      <c r="L17" s="2" t="s">
        <v>154</v>
      </c>
      <c r="O17" s="2" t="s">
        <v>155</v>
      </c>
      <c r="R17" s="2" t="s">
        <v>34</v>
      </c>
      <c r="S17" s="4" t="s">
        <v>156</v>
      </c>
    </row>
    <row r="18">
      <c r="A18" s="3">
        <v>44780.59900043982</v>
      </c>
      <c r="B18" s="2" t="s">
        <v>23</v>
      </c>
      <c r="C18" s="2" t="s">
        <v>157</v>
      </c>
      <c r="D18" s="2" t="s">
        <v>158</v>
      </c>
      <c r="E18" s="2" t="s">
        <v>109</v>
      </c>
      <c r="F18" s="2" t="s">
        <v>51</v>
      </c>
      <c r="H18" s="2" t="s">
        <v>64</v>
      </c>
      <c r="I18" s="2" t="s">
        <v>145</v>
      </c>
      <c r="J18" s="2" t="s">
        <v>159</v>
      </c>
      <c r="L18" s="2" t="s">
        <v>43</v>
      </c>
      <c r="O18" s="2" t="s">
        <v>160</v>
      </c>
      <c r="P18" s="2" t="s">
        <v>161</v>
      </c>
      <c r="R18" s="2" t="s">
        <v>34</v>
      </c>
      <c r="S18" s="4" t="s">
        <v>162</v>
      </c>
    </row>
    <row r="19">
      <c r="A19" s="3">
        <v>44780.60107422454</v>
      </c>
      <c r="B19" s="2" t="s">
        <v>23</v>
      </c>
      <c r="C19" s="2" t="s">
        <v>163</v>
      </c>
      <c r="D19" s="2" t="s">
        <v>164</v>
      </c>
      <c r="E19" s="2" t="s">
        <v>26</v>
      </c>
      <c r="I19" s="2" t="s">
        <v>145</v>
      </c>
      <c r="J19" s="2" t="s">
        <v>165</v>
      </c>
      <c r="L19" s="2" t="s">
        <v>68</v>
      </c>
      <c r="N19" s="2" t="s">
        <v>87</v>
      </c>
      <c r="P19" s="2" t="s">
        <v>166</v>
      </c>
      <c r="Q19" s="2" t="s">
        <v>167</v>
      </c>
      <c r="R19" s="2" t="s">
        <v>34</v>
      </c>
      <c r="S19" s="4" t="s">
        <v>168</v>
      </c>
    </row>
    <row r="20">
      <c r="A20" s="3">
        <v>44780.60639729167</v>
      </c>
      <c r="B20" s="2" t="s">
        <v>23</v>
      </c>
      <c r="C20" s="2" t="s">
        <v>169</v>
      </c>
      <c r="D20" s="2" t="s">
        <v>170</v>
      </c>
      <c r="E20" s="2" t="s">
        <v>109</v>
      </c>
      <c r="F20" s="2" t="s">
        <v>171</v>
      </c>
      <c r="H20" s="2" t="s">
        <v>27</v>
      </c>
      <c r="I20" s="2" t="s">
        <v>172</v>
      </c>
      <c r="J20" s="2" t="s">
        <v>173</v>
      </c>
      <c r="L20" s="2" t="s">
        <v>154</v>
      </c>
      <c r="N20" s="2" t="s">
        <v>87</v>
      </c>
      <c r="P20" s="2" t="s">
        <v>174</v>
      </c>
      <c r="Q20" s="2" t="s">
        <v>175</v>
      </c>
      <c r="R20" s="2" t="s">
        <v>34</v>
      </c>
      <c r="S20" s="4" t="s">
        <v>176</v>
      </c>
    </row>
    <row r="21">
      <c r="A21" s="3">
        <v>45274.91663245371</v>
      </c>
      <c r="B21" s="2" t="s">
        <v>23</v>
      </c>
      <c r="C21" s="2" t="s">
        <v>177</v>
      </c>
      <c r="D21" s="2" t="s">
        <v>178</v>
      </c>
      <c r="E21" s="2" t="s">
        <v>26</v>
      </c>
      <c r="F21" s="2" t="s">
        <v>179</v>
      </c>
      <c r="H21" s="2" t="s">
        <v>98</v>
      </c>
      <c r="I21" s="2" t="s">
        <v>180</v>
      </c>
      <c r="J21" s="2" t="s">
        <v>181</v>
      </c>
      <c r="K21" s="2" t="s">
        <v>42</v>
      </c>
      <c r="L21" s="2" t="s">
        <v>43</v>
      </c>
      <c r="M21" s="2" t="s">
        <v>182</v>
      </c>
      <c r="N21" s="2" t="s">
        <v>57</v>
      </c>
      <c r="O21" s="2" t="s">
        <v>183</v>
      </c>
      <c r="P21" s="2" t="s">
        <v>184</v>
      </c>
      <c r="R21" s="2" t="s">
        <v>185</v>
      </c>
      <c r="S21" s="4" t="s">
        <v>186</v>
      </c>
    </row>
    <row r="22">
      <c r="A22" s="3">
        <v>44780.608520775466</v>
      </c>
      <c r="B22" s="2" t="s">
        <v>23</v>
      </c>
      <c r="C22" s="2" t="s">
        <v>187</v>
      </c>
      <c r="D22" s="2" t="s">
        <v>188</v>
      </c>
      <c r="E22" s="2" t="s">
        <v>26</v>
      </c>
      <c r="H22" s="2" t="s">
        <v>98</v>
      </c>
      <c r="I22" s="2" t="s">
        <v>75</v>
      </c>
      <c r="J22" s="2" t="s">
        <v>189</v>
      </c>
      <c r="L22" s="2" t="s">
        <v>154</v>
      </c>
      <c r="O22" s="2" t="s">
        <v>190</v>
      </c>
      <c r="P22" s="2" t="s">
        <v>79</v>
      </c>
      <c r="R22" s="2" t="s">
        <v>34</v>
      </c>
      <c r="S22" s="4" t="s">
        <v>191</v>
      </c>
    </row>
    <row r="23">
      <c r="A23" s="3">
        <v>44780.61074497685</v>
      </c>
      <c r="B23" s="2" t="s">
        <v>23</v>
      </c>
      <c r="C23" s="2" t="s">
        <v>192</v>
      </c>
      <c r="D23" s="2" t="s">
        <v>188</v>
      </c>
      <c r="E23" s="2" t="s">
        <v>26</v>
      </c>
      <c r="F23" s="2" t="s">
        <v>193</v>
      </c>
      <c r="H23" s="2" t="s">
        <v>39</v>
      </c>
      <c r="I23" s="2" t="s">
        <v>75</v>
      </c>
      <c r="J23" s="2" t="s">
        <v>194</v>
      </c>
      <c r="L23" s="2" t="s">
        <v>154</v>
      </c>
      <c r="N23" s="2" t="s">
        <v>87</v>
      </c>
      <c r="P23" s="2" t="s">
        <v>195</v>
      </c>
      <c r="R23" s="2" t="s">
        <v>34</v>
      </c>
      <c r="S23" s="4" t="s">
        <v>196</v>
      </c>
    </row>
    <row r="24">
      <c r="A24" s="3">
        <v>45425.3972866088</v>
      </c>
      <c r="B24" s="2" t="s">
        <v>23</v>
      </c>
      <c r="C24" s="2" t="s">
        <v>197</v>
      </c>
      <c r="D24" s="2" t="s">
        <v>198</v>
      </c>
      <c r="E24" s="2" t="s">
        <v>26</v>
      </c>
      <c r="H24" s="2" t="s">
        <v>122</v>
      </c>
      <c r="I24" s="2" t="s">
        <v>199</v>
      </c>
      <c r="J24" s="2" t="s">
        <v>200</v>
      </c>
      <c r="K24" s="2" t="s">
        <v>201</v>
      </c>
      <c r="L24" s="2" t="s">
        <v>77</v>
      </c>
      <c r="M24" s="2" t="s">
        <v>202</v>
      </c>
      <c r="N24" s="2" t="s">
        <v>45</v>
      </c>
      <c r="O24" s="2" t="s">
        <v>203</v>
      </c>
      <c r="P24" s="2" t="s">
        <v>204</v>
      </c>
      <c r="Q24" s="2" t="s">
        <v>205</v>
      </c>
      <c r="R24" s="2" t="s">
        <v>34</v>
      </c>
      <c r="S24" s="4" t="s">
        <v>206</v>
      </c>
    </row>
    <row r="25">
      <c r="A25" s="3">
        <v>45399.1055977662</v>
      </c>
      <c r="B25" s="2" t="s">
        <v>23</v>
      </c>
      <c r="C25" s="2" t="s">
        <v>207</v>
      </c>
      <c r="D25" s="2" t="s">
        <v>208</v>
      </c>
      <c r="E25" s="2" t="s">
        <v>26</v>
      </c>
      <c r="H25" s="2" t="s">
        <v>98</v>
      </c>
      <c r="I25" s="2" t="s">
        <v>75</v>
      </c>
      <c r="J25" s="2" t="s">
        <v>209</v>
      </c>
      <c r="K25" s="2" t="s">
        <v>42</v>
      </c>
      <c r="L25" s="2" t="s">
        <v>43</v>
      </c>
      <c r="N25" s="2" t="s">
        <v>87</v>
      </c>
      <c r="P25" s="2" t="s">
        <v>184</v>
      </c>
      <c r="R25" s="2" t="s">
        <v>34</v>
      </c>
      <c r="S25" s="4" t="s">
        <v>210</v>
      </c>
    </row>
    <row r="26">
      <c r="A26" s="3">
        <v>44780.61596355324</v>
      </c>
      <c r="B26" s="2" t="s">
        <v>23</v>
      </c>
      <c r="C26" s="2" t="s">
        <v>211</v>
      </c>
      <c r="D26" s="2" t="s">
        <v>212</v>
      </c>
      <c r="E26" s="2" t="s">
        <v>26</v>
      </c>
      <c r="H26" s="2" t="s">
        <v>64</v>
      </c>
      <c r="I26" s="2" t="s">
        <v>213</v>
      </c>
      <c r="J26" s="2" t="s">
        <v>214</v>
      </c>
      <c r="L26" s="2" t="s">
        <v>68</v>
      </c>
      <c r="O26" s="2" t="s">
        <v>215</v>
      </c>
      <c r="P26" s="2" t="s">
        <v>216</v>
      </c>
      <c r="R26" s="2" t="s">
        <v>34</v>
      </c>
      <c r="S26" s="4" t="s">
        <v>217</v>
      </c>
    </row>
    <row r="27">
      <c r="A27" s="3">
        <v>45515.756714456016</v>
      </c>
      <c r="B27" s="2" t="s">
        <v>23</v>
      </c>
      <c r="C27" s="2" t="s">
        <v>218</v>
      </c>
      <c r="D27" s="2" t="s">
        <v>219</v>
      </c>
      <c r="E27" s="2" t="s">
        <v>26</v>
      </c>
      <c r="F27" s="2" t="s">
        <v>38</v>
      </c>
      <c r="G27" s="2" t="s">
        <v>220</v>
      </c>
      <c r="H27" s="2" t="s">
        <v>98</v>
      </c>
      <c r="I27" s="2" t="s">
        <v>145</v>
      </c>
      <c r="J27" s="2" t="s">
        <v>221</v>
      </c>
      <c r="K27" s="2" t="s">
        <v>67</v>
      </c>
      <c r="L27" s="2" t="s">
        <v>43</v>
      </c>
      <c r="M27" s="2" t="s">
        <v>222</v>
      </c>
      <c r="N27" s="2" t="s">
        <v>45</v>
      </c>
      <c r="O27" s="2" t="s">
        <v>223</v>
      </c>
      <c r="P27" s="2" t="s">
        <v>224</v>
      </c>
      <c r="R27" s="2" t="s">
        <v>34</v>
      </c>
      <c r="S27" s="4" t="s">
        <v>225</v>
      </c>
    </row>
    <row r="28">
      <c r="A28" s="3">
        <v>45001.13391859954</v>
      </c>
      <c r="B28" s="2" t="s">
        <v>23</v>
      </c>
      <c r="C28" s="2" t="s">
        <v>226</v>
      </c>
      <c r="D28" s="2" t="s">
        <v>227</v>
      </c>
      <c r="E28" s="2" t="s">
        <v>26</v>
      </c>
      <c r="H28" s="2" t="s">
        <v>98</v>
      </c>
      <c r="I28" s="2" t="s">
        <v>84</v>
      </c>
      <c r="J28" s="2" t="s">
        <v>228</v>
      </c>
      <c r="K28" s="2" t="s">
        <v>67</v>
      </c>
      <c r="L28" s="2" t="s">
        <v>43</v>
      </c>
      <c r="M28" s="2" t="s">
        <v>229</v>
      </c>
      <c r="P28" s="2" t="s">
        <v>230</v>
      </c>
      <c r="R28" s="2" t="s">
        <v>34</v>
      </c>
      <c r="S28" s="4" t="s">
        <v>231</v>
      </c>
    </row>
    <row r="29">
      <c r="A29" s="3">
        <v>44780.61896363426</v>
      </c>
      <c r="B29" s="2" t="s">
        <v>23</v>
      </c>
      <c r="C29" s="2" t="s">
        <v>232</v>
      </c>
      <c r="D29" s="2" t="s">
        <v>233</v>
      </c>
      <c r="E29" s="2" t="s">
        <v>26</v>
      </c>
      <c r="F29" s="2" t="s">
        <v>234</v>
      </c>
      <c r="H29" s="2" t="s">
        <v>98</v>
      </c>
      <c r="I29" s="2" t="s">
        <v>145</v>
      </c>
      <c r="J29" s="2" t="s">
        <v>235</v>
      </c>
      <c r="L29" s="2" t="s">
        <v>77</v>
      </c>
      <c r="O29" s="2" t="s">
        <v>236</v>
      </c>
      <c r="Q29" s="2" t="s">
        <v>237</v>
      </c>
      <c r="R29" s="2" t="s">
        <v>34</v>
      </c>
      <c r="S29" s="4" t="s">
        <v>238</v>
      </c>
    </row>
    <row r="30">
      <c r="A30" s="3">
        <v>45698.98315846064</v>
      </c>
      <c r="B30" s="2" t="s">
        <v>23</v>
      </c>
      <c r="C30" s="2" t="s">
        <v>239</v>
      </c>
      <c r="D30" s="2" t="s">
        <v>240</v>
      </c>
      <c r="E30" s="2" t="s">
        <v>241</v>
      </c>
      <c r="G30" s="2" t="s">
        <v>242</v>
      </c>
      <c r="H30" s="2" t="s">
        <v>98</v>
      </c>
      <c r="I30" s="2" t="s">
        <v>243</v>
      </c>
      <c r="J30" s="2" t="s">
        <v>244</v>
      </c>
      <c r="K30" s="2" t="s">
        <v>67</v>
      </c>
      <c r="L30" s="2" t="s">
        <v>43</v>
      </c>
      <c r="M30" s="2" t="s">
        <v>245</v>
      </c>
      <c r="N30" s="2" t="s">
        <v>57</v>
      </c>
      <c r="O30" s="2" t="s">
        <v>246</v>
      </c>
      <c r="P30" s="2" t="s">
        <v>247</v>
      </c>
      <c r="Q30" s="2" t="s">
        <v>248</v>
      </c>
      <c r="R30" s="2" t="s">
        <v>34</v>
      </c>
      <c r="S30" s="4" t="s">
        <v>249</v>
      </c>
    </row>
    <row r="31">
      <c r="A31" s="3">
        <v>44780.62198012731</v>
      </c>
      <c r="B31" s="2" t="s">
        <v>23</v>
      </c>
      <c r="C31" s="2" t="s">
        <v>250</v>
      </c>
      <c r="D31" s="2" t="s">
        <v>251</v>
      </c>
      <c r="E31" s="2" t="s">
        <v>26</v>
      </c>
      <c r="F31" s="2" t="s">
        <v>234</v>
      </c>
      <c r="I31" s="2" t="s">
        <v>84</v>
      </c>
      <c r="J31" s="2" t="s">
        <v>252</v>
      </c>
      <c r="L31" s="2" t="s">
        <v>68</v>
      </c>
      <c r="O31" s="2" t="s">
        <v>253</v>
      </c>
      <c r="P31" s="2" t="s">
        <v>254</v>
      </c>
      <c r="Q31" s="2" t="s">
        <v>255</v>
      </c>
      <c r="R31" s="2" t="s">
        <v>34</v>
      </c>
      <c r="S31" s="4" t="s">
        <v>256</v>
      </c>
    </row>
    <row r="32">
      <c r="A32" s="3">
        <v>44780.62336799769</v>
      </c>
      <c r="B32" s="2" t="s">
        <v>23</v>
      </c>
      <c r="C32" s="2" t="s">
        <v>257</v>
      </c>
      <c r="D32" s="2" t="s">
        <v>258</v>
      </c>
      <c r="E32" s="2" t="s">
        <v>26</v>
      </c>
      <c r="H32" s="2" t="s">
        <v>98</v>
      </c>
      <c r="I32" s="2" t="s">
        <v>145</v>
      </c>
      <c r="J32" s="2" t="s">
        <v>259</v>
      </c>
      <c r="L32" s="2" t="s">
        <v>77</v>
      </c>
      <c r="P32" s="2" t="s">
        <v>184</v>
      </c>
      <c r="Q32" s="2" t="s">
        <v>260</v>
      </c>
      <c r="R32" s="2" t="s">
        <v>34</v>
      </c>
      <c r="S32" s="4" t="s">
        <v>261</v>
      </c>
    </row>
    <row r="33">
      <c r="A33" s="3">
        <v>44780.63394105324</v>
      </c>
      <c r="B33" s="2" t="s">
        <v>23</v>
      </c>
      <c r="C33" s="2" t="s">
        <v>262</v>
      </c>
      <c r="D33" s="2" t="s">
        <v>263</v>
      </c>
      <c r="E33" s="2" t="s">
        <v>26</v>
      </c>
      <c r="F33" s="2" t="s">
        <v>264</v>
      </c>
      <c r="H33" s="2" t="s">
        <v>98</v>
      </c>
      <c r="I33" s="2" t="s">
        <v>145</v>
      </c>
      <c r="J33" s="2" t="s">
        <v>265</v>
      </c>
      <c r="L33" s="2" t="s">
        <v>68</v>
      </c>
      <c r="N33" s="2" t="s">
        <v>87</v>
      </c>
      <c r="P33" s="2" t="s">
        <v>266</v>
      </c>
      <c r="Q33" s="2" t="s">
        <v>267</v>
      </c>
      <c r="R33" s="2" t="s">
        <v>185</v>
      </c>
      <c r="S33" s="4" t="s">
        <v>268</v>
      </c>
    </row>
    <row r="34">
      <c r="A34" s="3">
        <v>44887.79283068287</v>
      </c>
      <c r="B34" s="2" t="s">
        <v>23</v>
      </c>
      <c r="C34" s="2" t="s">
        <v>269</v>
      </c>
      <c r="D34" s="2" t="s">
        <v>270</v>
      </c>
      <c r="E34" s="2" t="s">
        <v>26</v>
      </c>
      <c r="G34" s="2" t="s">
        <v>271</v>
      </c>
      <c r="I34" s="2" t="s">
        <v>272</v>
      </c>
      <c r="J34" s="2" t="s">
        <v>273</v>
      </c>
      <c r="K34" s="2" t="s">
        <v>274</v>
      </c>
      <c r="L34" s="2" t="s">
        <v>43</v>
      </c>
      <c r="M34" s="2" t="s">
        <v>275</v>
      </c>
      <c r="N34" s="2" t="s">
        <v>276</v>
      </c>
      <c r="O34" s="2" t="s">
        <v>277</v>
      </c>
      <c r="P34" s="2" t="s">
        <v>278</v>
      </c>
      <c r="R34" s="2" t="s">
        <v>34</v>
      </c>
      <c r="S34" s="4" t="s">
        <v>279</v>
      </c>
    </row>
    <row r="35">
      <c r="A35" s="3">
        <v>44780.63987252315</v>
      </c>
      <c r="B35" s="2" t="s">
        <v>23</v>
      </c>
      <c r="C35" s="2" t="s">
        <v>280</v>
      </c>
      <c r="D35" s="2" t="s">
        <v>281</v>
      </c>
      <c r="E35" s="2" t="s">
        <v>26</v>
      </c>
      <c r="H35" s="2" t="s">
        <v>98</v>
      </c>
      <c r="I35" s="2" t="s">
        <v>84</v>
      </c>
      <c r="J35" s="2" t="s">
        <v>282</v>
      </c>
      <c r="L35" s="2" t="s">
        <v>77</v>
      </c>
      <c r="O35" s="2" t="s">
        <v>283</v>
      </c>
      <c r="P35" s="2" t="s">
        <v>161</v>
      </c>
      <c r="R35" s="2" t="s">
        <v>34</v>
      </c>
      <c r="S35" s="4" t="s">
        <v>284</v>
      </c>
    </row>
    <row r="36">
      <c r="A36" s="3">
        <v>44780.63777570602</v>
      </c>
      <c r="B36" s="2" t="s">
        <v>23</v>
      </c>
      <c r="C36" s="2" t="s">
        <v>285</v>
      </c>
      <c r="D36" s="2" t="s">
        <v>286</v>
      </c>
      <c r="E36" s="2" t="s">
        <v>287</v>
      </c>
      <c r="H36" s="2" t="s">
        <v>64</v>
      </c>
      <c r="I36" s="2" t="s">
        <v>288</v>
      </c>
      <c r="J36" s="2" t="s">
        <v>289</v>
      </c>
      <c r="L36" s="2" t="s">
        <v>43</v>
      </c>
      <c r="O36" s="2" t="s">
        <v>290</v>
      </c>
      <c r="P36" s="2" t="s">
        <v>291</v>
      </c>
      <c r="Q36" s="2" t="s">
        <v>292</v>
      </c>
      <c r="R36" s="2" t="s">
        <v>34</v>
      </c>
      <c r="S36" s="4" t="s">
        <v>293</v>
      </c>
    </row>
    <row r="37">
      <c r="A37" s="3">
        <v>45200.68615790509</v>
      </c>
      <c r="B37" s="2" t="s">
        <v>23</v>
      </c>
      <c r="C37" s="2" t="s">
        <v>294</v>
      </c>
      <c r="D37" s="2" t="s">
        <v>295</v>
      </c>
      <c r="E37" s="2" t="s">
        <v>296</v>
      </c>
      <c r="F37" s="2" t="s">
        <v>297</v>
      </c>
      <c r="H37" s="2" t="s">
        <v>27</v>
      </c>
      <c r="I37" s="2" t="s">
        <v>298</v>
      </c>
      <c r="J37" s="2" t="s">
        <v>299</v>
      </c>
      <c r="K37" s="2" t="s">
        <v>67</v>
      </c>
      <c r="L37" s="2" t="s">
        <v>77</v>
      </c>
      <c r="N37" s="2" t="s">
        <v>276</v>
      </c>
      <c r="O37" s="2" t="s">
        <v>300</v>
      </c>
      <c r="P37" s="2" t="s">
        <v>301</v>
      </c>
      <c r="Q37" s="2" t="s">
        <v>302</v>
      </c>
      <c r="R37" s="2" t="s">
        <v>34</v>
      </c>
      <c r="S37" s="4" t="s">
        <v>303</v>
      </c>
    </row>
    <row r="38">
      <c r="A38" s="3">
        <v>44846.9371328125</v>
      </c>
      <c r="B38" s="2" t="s">
        <v>23</v>
      </c>
      <c r="C38" s="2" t="s">
        <v>304</v>
      </c>
      <c r="D38" s="2" t="s">
        <v>305</v>
      </c>
      <c r="E38" s="2" t="s">
        <v>306</v>
      </c>
      <c r="F38" s="2" t="s">
        <v>51</v>
      </c>
      <c r="G38" s="2" t="s">
        <v>307</v>
      </c>
      <c r="H38" s="2" t="s">
        <v>308</v>
      </c>
      <c r="I38" s="2" t="s">
        <v>309</v>
      </c>
      <c r="J38" s="2" t="s">
        <v>310</v>
      </c>
      <c r="K38" s="2" t="s">
        <v>67</v>
      </c>
      <c r="L38" s="2" t="s">
        <v>55</v>
      </c>
      <c r="M38" s="2" t="s">
        <v>311</v>
      </c>
      <c r="N38" s="2" t="s">
        <v>57</v>
      </c>
      <c r="P38" s="2" t="s">
        <v>312</v>
      </c>
      <c r="Q38" s="2" t="s">
        <v>313</v>
      </c>
      <c r="R38" s="2" t="s">
        <v>185</v>
      </c>
      <c r="S38" s="4" t="s">
        <v>314</v>
      </c>
    </row>
    <row r="39">
      <c r="A39" s="3">
        <v>44780.64182564815</v>
      </c>
      <c r="B39" s="2" t="s">
        <v>23</v>
      </c>
      <c r="C39" s="2" t="s">
        <v>315</v>
      </c>
      <c r="D39" s="2" t="s">
        <v>316</v>
      </c>
      <c r="E39" s="2" t="s">
        <v>109</v>
      </c>
      <c r="F39" s="2" t="s">
        <v>51</v>
      </c>
      <c r="I39" s="2" t="s">
        <v>145</v>
      </c>
      <c r="J39" s="2" t="s">
        <v>317</v>
      </c>
      <c r="L39" s="2" t="s">
        <v>43</v>
      </c>
      <c r="N39" s="2" t="s">
        <v>87</v>
      </c>
      <c r="P39" s="2" t="s">
        <v>318</v>
      </c>
      <c r="R39" s="2" t="s">
        <v>34</v>
      </c>
      <c r="S39" s="4" t="s">
        <v>319</v>
      </c>
    </row>
    <row r="40">
      <c r="A40" s="3">
        <v>44809.110768831015</v>
      </c>
      <c r="B40" s="2" t="s">
        <v>23</v>
      </c>
      <c r="C40" s="2" t="s">
        <v>320</v>
      </c>
      <c r="D40" s="2" t="s">
        <v>321</v>
      </c>
      <c r="E40" s="2" t="s">
        <v>26</v>
      </c>
      <c r="H40" s="2" t="s">
        <v>98</v>
      </c>
      <c r="I40" s="2" t="s">
        <v>322</v>
      </c>
      <c r="J40" s="2" t="s">
        <v>323</v>
      </c>
      <c r="K40" s="2" t="s">
        <v>324</v>
      </c>
      <c r="L40" s="2" t="s">
        <v>43</v>
      </c>
      <c r="M40" s="2" t="s">
        <v>325</v>
      </c>
      <c r="N40" s="2" t="s">
        <v>57</v>
      </c>
      <c r="O40" s="2" t="s">
        <v>326</v>
      </c>
      <c r="P40" s="2" t="s">
        <v>139</v>
      </c>
      <c r="R40" s="2" t="s">
        <v>34</v>
      </c>
      <c r="S40" s="4" t="s">
        <v>327</v>
      </c>
    </row>
    <row r="41">
      <c r="A41" s="3">
        <v>44780.64480025463</v>
      </c>
      <c r="B41" s="2" t="s">
        <v>23</v>
      </c>
      <c r="C41" s="2" t="s">
        <v>328</v>
      </c>
      <c r="D41" s="2" t="s">
        <v>329</v>
      </c>
      <c r="E41" s="2" t="s">
        <v>26</v>
      </c>
      <c r="H41" s="2" t="s">
        <v>122</v>
      </c>
      <c r="I41" s="2" t="s">
        <v>145</v>
      </c>
      <c r="J41" s="2" t="s">
        <v>330</v>
      </c>
      <c r="L41" s="2" t="s">
        <v>43</v>
      </c>
      <c r="O41" s="2" t="s">
        <v>331</v>
      </c>
      <c r="P41" s="2" t="s">
        <v>332</v>
      </c>
      <c r="R41" s="2" t="s">
        <v>34</v>
      </c>
      <c r="S41" s="4" t="s">
        <v>333</v>
      </c>
    </row>
    <row r="42">
      <c r="A42" s="3">
        <v>44945.12212965278</v>
      </c>
      <c r="B42" s="2" t="s">
        <v>23</v>
      </c>
      <c r="C42" s="2" t="s">
        <v>334</v>
      </c>
      <c r="D42" s="2" t="s">
        <v>335</v>
      </c>
      <c r="E42" s="2" t="s">
        <v>26</v>
      </c>
      <c r="F42" s="2" t="s">
        <v>336</v>
      </c>
      <c r="H42" s="2" t="s">
        <v>337</v>
      </c>
      <c r="I42" s="2" t="s">
        <v>53</v>
      </c>
      <c r="J42" s="2" t="s">
        <v>338</v>
      </c>
      <c r="L42" s="2" t="s">
        <v>77</v>
      </c>
      <c r="N42" s="2" t="s">
        <v>57</v>
      </c>
      <c r="O42" s="2" t="s">
        <v>339</v>
      </c>
      <c r="P42" s="2" t="s">
        <v>340</v>
      </c>
      <c r="R42" s="2" t="s">
        <v>185</v>
      </c>
      <c r="S42" s="4" t="s">
        <v>341</v>
      </c>
    </row>
    <row r="43">
      <c r="A43" s="3">
        <v>45176.75589185185</v>
      </c>
      <c r="B43" s="2" t="s">
        <v>23</v>
      </c>
      <c r="C43" s="2" t="s">
        <v>342</v>
      </c>
      <c r="D43" s="2" t="s">
        <v>343</v>
      </c>
      <c r="E43" s="2" t="s">
        <v>26</v>
      </c>
      <c r="H43" s="2" t="s">
        <v>98</v>
      </c>
      <c r="I43" s="2" t="s">
        <v>84</v>
      </c>
      <c r="J43" s="2" t="s">
        <v>344</v>
      </c>
      <c r="K43" s="2" t="s">
        <v>67</v>
      </c>
      <c r="L43" s="2" t="s">
        <v>43</v>
      </c>
      <c r="N43" s="2" t="s">
        <v>45</v>
      </c>
      <c r="O43" s="2" t="s">
        <v>345</v>
      </c>
      <c r="P43" s="2" t="s">
        <v>224</v>
      </c>
      <c r="R43" s="2" t="s">
        <v>34</v>
      </c>
      <c r="S43" s="4" t="s">
        <v>346</v>
      </c>
    </row>
    <row r="44">
      <c r="A44" s="3">
        <v>45176.75723761574</v>
      </c>
      <c r="B44" s="2" t="s">
        <v>23</v>
      </c>
      <c r="C44" s="2" t="s">
        <v>347</v>
      </c>
      <c r="D44" s="2" t="s">
        <v>343</v>
      </c>
      <c r="E44" s="2" t="s">
        <v>26</v>
      </c>
      <c r="F44" s="2" t="s">
        <v>193</v>
      </c>
      <c r="H44" s="2" t="s">
        <v>98</v>
      </c>
      <c r="I44" s="2" t="s">
        <v>348</v>
      </c>
      <c r="J44" s="2" t="s">
        <v>349</v>
      </c>
      <c r="K44" s="2" t="s">
        <v>67</v>
      </c>
      <c r="L44" s="2" t="s">
        <v>43</v>
      </c>
      <c r="M44" s="2" t="s">
        <v>86</v>
      </c>
      <c r="N44" s="2" t="s">
        <v>45</v>
      </c>
      <c r="O44" s="2" t="s">
        <v>350</v>
      </c>
      <c r="P44" s="2" t="s">
        <v>351</v>
      </c>
      <c r="R44" s="2" t="s">
        <v>34</v>
      </c>
      <c r="S44" s="4" t="s">
        <v>352</v>
      </c>
    </row>
    <row r="45">
      <c r="A45" s="3">
        <v>45176.75842408565</v>
      </c>
      <c r="B45" s="2" t="s">
        <v>23</v>
      </c>
      <c r="C45" s="2" t="s">
        <v>353</v>
      </c>
      <c r="D45" s="2" t="s">
        <v>343</v>
      </c>
      <c r="E45" s="2" t="s">
        <v>26</v>
      </c>
      <c r="H45" s="2" t="s">
        <v>98</v>
      </c>
      <c r="I45" s="2" t="s">
        <v>84</v>
      </c>
      <c r="J45" s="2" t="s">
        <v>354</v>
      </c>
      <c r="K45" s="2" t="s">
        <v>67</v>
      </c>
      <c r="L45" s="2" t="s">
        <v>43</v>
      </c>
      <c r="M45" s="2" t="s">
        <v>86</v>
      </c>
      <c r="N45" s="2" t="s">
        <v>57</v>
      </c>
      <c r="O45" s="2" t="s">
        <v>355</v>
      </c>
      <c r="P45" s="2" t="s">
        <v>356</v>
      </c>
      <c r="R45" s="2" t="s">
        <v>34</v>
      </c>
      <c r="S45" s="4" t="s">
        <v>357</v>
      </c>
    </row>
    <row r="46">
      <c r="A46" s="3">
        <v>45187.32569459491</v>
      </c>
      <c r="B46" s="2" t="s">
        <v>23</v>
      </c>
      <c r="C46" s="2" t="s">
        <v>358</v>
      </c>
      <c r="D46" s="2" t="s">
        <v>359</v>
      </c>
      <c r="E46" s="2" t="s">
        <v>360</v>
      </c>
      <c r="H46" s="2" t="s">
        <v>361</v>
      </c>
      <c r="I46" s="2" t="s">
        <v>362</v>
      </c>
      <c r="J46" s="2" t="s">
        <v>363</v>
      </c>
      <c r="K46" s="2" t="s">
        <v>67</v>
      </c>
      <c r="L46" s="2" t="s">
        <v>43</v>
      </c>
      <c r="M46" s="2" t="s">
        <v>364</v>
      </c>
      <c r="N46" s="2" t="s">
        <v>57</v>
      </c>
      <c r="O46" s="2" t="s">
        <v>365</v>
      </c>
      <c r="P46" s="2" t="s">
        <v>366</v>
      </c>
      <c r="R46" s="2" t="s">
        <v>34</v>
      </c>
      <c r="S46" s="4" t="s">
        <v>367</v>
      </c>
    </row>
    <row r="47">
      <c r="A47" s="3">
        <v>45124.24344663194</v>
      </c>
      <c r="B47" s="2" t="s">
        <v>23</v>
      </c>
      <c r="C47" s="2" t="s">
        <v>368</v>
      </c>
      <c r="D47" s="2" t="s">
        <v>369</v>
      </c>
      <c r="E47" s="2" t="s">
        <v>26</v>
      </c>
      <c r="F47" s="2" t="s">
        <v>370</v>
      </c>
      <c r="H47" s="2" t="s">
        <v>122</v>
      </c>
      <c r="I47" s="2" t="s">
        <v>371</v>
      </c>
      <c r="J47" s="2" t="s">
        <v>372</v>
      </c>
      <c r="K47" s="2" t="s">
        <v>324</v>
      </c>
      <c r="L47" s="2" t="s">
        <v>43</v>
      </c>
      <c r="M47" s="2" t="s">
        <v>373</v>
      </c>
      <c r="N47" s="2" t="s">
        <v>57</v>
      </c>
      <c r="O47" s="2" t="s">
        <v>374</v>
      </c>
      <c r="P47" s="2" t="s">
        <v>375</v>
      </c>
      <c r="Q47" s="2" t="s">
        <v>376</v>
      </c>
      <c r="R47" s="2" t="s">
        <v>34</v>
      </c>
      <c r="S47" s="4" t="s">
        <v>377</v>
      </c>
    </row>
    <row r="48">
      <c r="A48" s="3">
        <v>44843.852889699076</v>
      </c>
      <c r="B48" s="2" t="s">
        <v>23</v>
      </c>
      <c r="C48" s="2" t="s">
        <v>368</v>
      </c>
      <c r="D48" s="2" t="s">
        <v>378</v>
      </c>
      <c r="E48" s="2" t="s">
        <v>26</v>
      </c>
      <c r="F48" s="2" t="s">
        <v>370</v>
      </c>
      <c r="H48" s="2" t="s">
        <v>122</v>
      </c>
      <c r="I48" s="2" t="s">
        <v>199</v>
      </c>
      <c r="J48" s="2" t="s">
        <v>379</v>
      </c>
      <c r="K48" s="2" t="s">
        <v>324</v>
      </c>
      <c r="L48" s="2" t="s">
        <v>43</v>
      </c>
      <c r="M48" s="2" t="s">
        <v>380</v>
      </c>
      <c r="N48" s="2" t="s">
        <v>57</v>
      </c>
      <c r="O48" s="2" t="s">
        <v>381</v>
      </c>
      <c r="P48" s="2" t="s">
        <v>382</v>
      </c>
      <c r="Q48" s="2" t="s">
        <v>383</v>
      </c>
      <c r="R48" s="2" t="s">
        <v>34</v>
      </c>
      <c r="S48" s="4" t="s">
        <v>377</v>
      </c>
    </row>
    <row r="49">
      <c r="A49" s="3">
        <v>44780.64736128472</v>
      </c>
      <c r="B49" s="2" t="s">
        <v>23</v>
      </c>
      <c r="C49" s="2" t="s">
        <v>384</v>
      </c>
      <c r="D49" s="2" t="s">
        <v>385</v>
      </c>
      <c r="E49" s="2" t="s">
        <v>26</v>
      </c>
      <c r="I49" s="2" t="s">
        <v>386</v>
      </c>
      <c r="J49" s="2" t="s">
        <v>387</v>
      </c>
      <c r="L49" s="2" t="s">
        <v>77</v>
      </c>
      <c r="O49" s="2" t="s">
        <v>388</v>
      </c>
      <c r="P49" s="2" t="s">
        <v>95</v>
      </c>
      <c r="Q49" s="2" t="s">
        <v>389</v>
      </c>
      <c r="R49" s="2" t="s">
        <v>34</v>
      </c>
      <c r="S49" s="4" t="s">
        <v>390</v>
      </c>
    </row>
    <row r="50">
      <c r="A50" s="3">
        <v>44809.92486828704</v>
      </c>
      <c r="B50" s="2" t="s">
        <v>23</v>
      </c>
      <c r="C50" s="2" t="s">
        <v>391</v>
      </c>
      <c r="D50" s="2" t="s">
        <v>392</v>
      </c>
      <c r="E50" s="2" t="s">
        <v>26</v>
      </c>
      <c r="G50" s="2" t="s">
        <v>393</v>
      </c>
      <c r="H50" s="2" t="s">
        <v>122</v>
      </c>
      <c r="I50" s="2" t="s">
        <v>145</v>
      </c>
      <c r="J50" s="2" t="s">
        <v>394</v>
      </c>
      <c r="K50" s="2" t="s">
        <v>67</v>
      </c>
      <c r="L50" s="2" t="s">
        <v>43</v>
      </c>
      <c r="N50" s="2" t="s">
        <v>45</v>
      </c>
      <c r="O50" s="2" t="s">
        <v>395</v>
      </c>
      <c r="P50" s="2" t="s">
        <v>396</v>
      </c>
      <c r="R50" s="2" t="s">
        <v>34</v>
      </c>
      <c r="S50" s="4" t="s">
        <v>397</v>
      </c>
    </row>
    <row r="51">
      <c r="A51" s="3">
        <v>44813.213030231476</v>
      </c>
      <c r="B51" s="2" t="s">
        <v>23</v>
      </c>
      <c r="C51" s="2" t="s">
        <v>398</v>
      </c>
      <c r="D51" s="2" t="s">
        <v>392</v>
      </c>
      <c r="E51" s="2" t="s">
        <v>26</v>
      </c>
      <c r="H51" s="2" t="s">
        <v>98</v>
      </c>
      <c r="I51" s="2" t="s">
        <v>145</v>
      </c>
      <c r="J51" s="2" t="s">
        <v>399</v>
      </c>
      <c r="K51" s="2" t="s">
        <v>67</v>
      </c>
      <c r="L51" s="2" t="s">
        <v>43</v>
      </c>
      <c r="N51" s="2" t="s">
        <v>45</v>
      </c>
      <c r="O51" s="2" t="s">
        <v>400</v>
      </c>
      <c r="P51" s="2" t="s">
        <v>401</v>
      </c>
      <c r="R51" s="2" t="s">
        <v>34</v>
      </c>
      <c r="S51" s="4" t="s">
        <v>402</v>
      </c>
    </row>
    <row r="52">
      <c r="A52" s="3">
        <v>45683.76765524306</v>
      </c>
      <c r="B52" s="2" t="s">
        <v>23</v>
      </c>
      <c r="C52" s="2" t="s">
        <v>403</v>
      </c>
      <c r="D52" s="2" t="s">
        <v>404</v>
      </c>
      <c r="E52" s="2" t="s">
        <v>26</v>
      </c>
      <c r="H52" s="2" t="s">
        <v>98</v>
      </c>
      <c r="I52" s="2" t="s">
        <v>405</v>
      </c>
      <c r="J52" s="2" t="s">
        <v>406</v>
      </c>
      <c r="K52" s="2" t="s">
        <v>67</v>
      </c>
      <c r="L52" s="2" t="s">
        <v>43</v>
      </c>
      <c r="N52" s="2" t="s">
        <v>45</v>
      </c>
      <c r="O52" s="2" t="s">
        <v>407</v>
      </c>
      <c r="P52" s="2" t="s">
        <v>408</v>
      </c>
      <c r="R52" s="2" t="s">
        <v>34</v>
      </c>
      <c r="S52" s="4" t="s">
        <v>409</v>
      </c>
    </row>
    <row r="53">
      <c r="A53" s="3">
        <v>44944.95982993055</v>
      </c>
      <c r="B53" s="2" t="s">
        <v>23</v>
      </c>
      <c r="C53" s="2" t="s">
        <v>410</v>
      </c>
      <c r="D53" s="2" t="s">
        <v>411</v>
      </c>
      <c r="E53" s="2" t="s">
        <v>109</v>
      </c>
      <c r="F53" s="2" t="s">
        <v>412</v>
      </c>
      <c r="G53" s="2" t="s">
        <v>413</v>
      </c>
      <c r="H53" s="2" t="s">
        <v>74</v>
      </c>
      <c r="I53" s="2" t="s">
        <v>414</v>
      </c>
      <c r="J53" s="2" t="s">
        <v>415</v>
      </c>
      <c r="K53" s="2" t="s">
        <v>67</v>
      </c>
      <c r="L53" s="2" t="s">
        <v>43</v>
      </c>
      <c r="M53" s="2" t="s">
        <v>416</v>
      </c>
      <c r="N53" s="2" t="s">
        <v>87</v>
      </c>
      <c r="P53" s="2" t="s">
        <v>184</v>
      </c>
      <c r="Q53" s="2" t="s">
        <v>417</v>
      </c>
      <c r="R53" s="2" t="s">
        <v>34</v>
      </c>
      <c r="S53" s="4" t="s">
        <v>418</v>
      </c>
    </row>
    <row r="54">
      <c r="A54" s="3">
        <v>45084.05622118055</v>
      </c>
      <c r="B54" s="2" t="s">
        <v>23</v>
      </c>
      <c r="C54" s="2" t="s">
        <v>419</v>
      </c>
      <c r="D54" s="2" t="s">
        <v>420</v>
      </c>
      <c r="E54" s="2" t="s">
        <v>26</v>
      </c>
      <c r="G54" s="2" t="s">
        <v>421</v>
      </c>
      <c r="H54" s="2" t="s">
        <v>52</v>
      </c>
      <c r="I54" s="2" t="s">
        <v>422</v>
      </c>
      <c r="J54" s="2" t="s">
        <v>423</v>
      </c>
      <c r="K54" s="2" t="s">
        <v>67</v>
      </c>
      <c r="L54" s="2" t="s">
        <v>43</v>
      </c>
      <c r="N54" s="2" t="s">
        <v>276</v>
      </c>
      <c r="P54" s="2" t="s">
        <v>356</v>
      </c>
      <c r="Q54" s="2" t="s">
        <v>424</v>
      </c>
      <c r="R54" s="2" t="s">
        <v>34</v>
      </c>
      <c r="S54" s="4" t="s">
        <v>425</v>
      </c>
    </row>
    <row r="55">
      <c r="A55" s="3">
        <v>44780.651294745374</v>
      </c>
      <c r="B55" s="2" t="s">
        <v>23</v>
      </c>
      <c r="C55" s="2" t="s">
        <v>426</v>
      </c>
      <c r="D55" s="2" t="s">
        <v>427</v>
      </c>
      <c r="E55" s="2" t="s">
        <v>26</v>
      </c>
      <c r="I55" s="2" t="s">
        <v>84</v>
      </c>
      <c r="J55" s="2" t="s">
        <v>428</v>
      </c>
      <c r="L55" s="2" t="s">
        <v>77</v>
      </c>
      <c r="O55" s="2" t="s">
        <v>429</v>
      </c>
      <c r="P55" s="2" t="s">
        <v>254</v>
      </c>
      <c r="R55" s="2" t="s">
        <v>34</v>
      </c>
      <c r="S55" s="4" t="s">
        <v>430</v>
      </c>
    </row>
    <row r="56">
      <c r="A56" s="3">
        <v>44780.65612137732</v>
      </c>
      <c r="B56" s="2" t="s">
        <v>23</v>
      </c>
      <c r="C56" s="2" t="s">
        <v>431</v>
      </c>
      <c r="D56" s="2" t="s">
        <v>432</v>
      </c>
      <c r="E56" s="2" t="s">
        <v>26</v>
      </c>
      <c r="H56" s="2" t="s">
        <v>39</v>
      </c>
      <c r="I56" s="2" t="s">
        <v>433</v>
      </c>
      <c r="J56" s="2" t="s">
        <v>434</v>
      </c>
      <c r="L56" s="2" t="s">
        <v>77</v>
      </c>
      <c r="P56" s="2" t="s">
        <v>435</v>
      </c>
      <c r="R56" s="2" t="s">
        <v>185</v>
      </c>
      <c r="S56" s="4" t="s">
        <v>436</v>
      </c>
    </row>
    <row r="57">
      <c r="A57" s="3">
        <v>44780.6627109838</v>
      </c>
      <c r="B57" s="2" t="s">
        <v>23</v>
      </c>
      <c r="C57" s="2" t="s">
        <v>437</v>
      </c>
      <c r="D57" s="2" t="s">
        <v>438</v>
      </c>
      <c r="E57" s="2" t="s">
        <v>26</v>
      </c>
      <c r="H57" s="2" t="s">
        <v>122</v>
      </c>
      <c r="I57" s="2" t="s">
        <v>439</v>
      </c>
      <c r="J57" s="2" t="s">
        <v>440</v>
      </c>
      <c r="L57" s="2" t="s">
        <v>43</v>
      </c>
      <c r="N57" s="2" t="s">
        <v>87</v>
      </c>
      <c r="P57" s="2" t="s">
        <v>139</v>
      </c>
      <c r="R57" s="2" t="s">
        <v>34</v>
      </c>
      <c r="S57" s="4" t="s">
        <v>441</v>
      </c>
    </row>
    <row r="58">
      <c r="A58" s="3">
        <v>44780.666705613425</v>
      </c>
      <c r="B58" s="2" t="s">
        <v>23</v>
      </c>
      <c r="C58" s="2" t="s">
        <v>442</v>
      </c>
      <c r="D58" s="2" t="s">
        <v>443</v>
      </c>
      <c r="E58" s="2" t="s">
        <v>109</v>
      </c>
      <c r="F58" s="2" t="s">
        <v>51</v>
      </c>
      <c r="H58" s="2" t="s">
        <v>64</v>
      </c>
      <c r="I58" s="2" t="s">
        <v>145</v>
      </c>
      <c r="J58" s="2" t="s">
        <v>444</v>
      </c>
      <c r="L58" s="2" t="s">
        <v>77</v>
      </c>
      <c r="N58" s="2" t="s">
        <v>87</v>
      </c>
      <c r="P58" s="2" t="s">
        <v>445</v>
      </c>
      <c r="Q58" s="2" t="s">
        <v>446</v>
      </c>
      <c r="R58" s="2" t="s">
        <v>34</v>
      </c>
      <c r="S58" s="4" t="s">
        <v>447</v>
      </c>
    </row>
    <row r="59">
      <c r="A59" s="3">
        <v>44780.67111652778</v>
      </c>
      <c r="B59" s="2" t="s">
        <v>23</v>
      </c>
      <c r="C59" s="2" t="s">
        <v>448</v>
      </c>
      <c r="D59" s="2" t="s">
        <v>449</v>
      </c>
      <c r="E59" s="2" t="s">
        <v>26</v>
      </c>
      <c r="H59" s="2" t="s">
        <v>98</v>
      </c>
      <c r="I59" s="2" t="s">
        <v>75</v>
      </c>
      <c r="J59" s="2" t="s">
        <v>450</v>
      </c>
      <c r="L59" s="2" t="s">
        <v>77</v>
      </c>
      <c r="O59" s="2" t="s">
        <v>451</v>
      </c>
      <c r="P59" s="2" t="s">
        <v>452</v>
      </c>
      <c r="Q59" s="2" t="s">
        <v>453</v>
      </c>
      <c r="R59" s="2" t="s">
        <v>34</v>
      </c>
      <c r="S59" s="4" t="s">
        <v>454</v>
      </c>
    </row>
    <row r="60">
      <c r="A60" s="3">
        <v>44780.67281082176</v>
      </c>
      <c r="B60" s="2" t="s">
        <v>23</v>
      </c>
      <c r="C60" s="2" t="s">
        <v>455</v>
      </c>
      <c r="D60" s="2" t="s">
        <v>456</v>
      </c>
      <c r="E60" s="2" t="s">
        <v>26</v>
      </c>
      <c r="H60" s="2" t="s">
        <v>98</v>
      </c>
      <c r="I60" s="2" t="s">
        <v>102</v>
      </c>
      <c r="J60" s="2" t="s">
        <v>457</v>
      </c>
      <c r="L60" s="2" t="s">
        <v>77</v>
      </c>
      <c r="O60" s="2" t="s">
        <v>458</v>
      </c>
      <c r="R60" s="2" t="s">
        <v>34</v>
      </c>
      <c r="S60" s="4" t="s">
        <v>459</v>
      </c>
    </row>
    <row r="61">
      <c r="A61" s="3">
        <v>44780.674961331024</v>
      </c>
      <c r="B61" s="2" t="s">
        <v>23</v>
      </c>
      <c r="C61" s="2" t="s">
        <v>460</v>
      </c>
      <c r="D61" s="2" t="s">
        <v>461</v>
      </c>
      <c r="E61" s="2" t="s">
        <v>26</v>
      </c>
      <c r="H61" s="2" t="s">
        <v>122</v>
      </c>
      <c r="I61" s="2" t="s">
        <v>462</v>
      </c>
      <c r="J61" s="2" t="s">
        <v>463</v>
      </c>
      <c r="L61" s="2" t="s">
        <v>154</v>
      </c>
      <c r="O61" s="2" t="s">
        <v>464</v>
      </c>
      <c r="P61" s="2" t="s">
        <v>465</v>
      </c>
      <c r="R61" s="2" t="s">
        <v>34</v>
      </c>
      <c r="S61" s="4" t="s">
        <v>466</v>
      </c>
    </row>
    <row r="62">
      <c r="A62" s="3">
        <v>44813.22028569445</v>
      </c>
      <c r="B62" s="2" t="s">
        <v>23</v>
      </c>
      <c r="C62" s="2" t="s">
        <v>467</v>
      </c>
      <c r="D62" s="2" t="s">
        <v>468</v>
      </c>
      <c r="E62" s="2" t="s">
        <v>26</v>
      </c>
      <c r="H62" s="2" t="s">
        <v>64</v>
      </c>
      <c r="I62" s="2" t="s">
        <v>322</v>
      </c>
      <c r="J62" s="2" t="s">
        <v>469</v>
      </c>
      <c r="K62" s="2" t="s">
        <v>67</v>
      </c>
      <c r="L62" s="2" t="s">
        <v>43</v>
      </c>
      <c r="N62" s="2" t="s">
        <v>87</v>
      </c>
      <c r="P62" s="2" t="s">
        <v>470</v>
      </c>
      <c r="R62" s="2" t="s">
        <v>34</v>
      </c>
      <c r="S62" s="4" t="s">
        <v>471</v>
      </c>
    </row>
    <row r="63">
      <c r="A63" s="3">
        <v>44780.67699251157</v>
      </c>
      <c r="B63" s="2" t="s">
        <v>23</v>
      </c>
      <c r="C63" s="2" t="s">
        <v>472</v>
      </c>
      <c r="D63" s="2" t="s">
        <v>473</v>
      </c>
      <c r="E63" s="2" t="s">
        <v>26</v>
      </c>
      <c r="H63" s="2" t="s">
        <v>64</v>
      </c>
      <c r="I63" s="2" t="s">
        <v>474</v>
      </c>
      <c r="J63" s="2" t="s">
        <v>475</v>
      </c>
      <c r="L63" s="2" t="s">
        <v>77</v>
      </c>
      <c r="O63" s="2" t="s">
        <v>476</v>
      </c>
      <c r="P63" s="2" t="s">
        <v>88</v>
      </c>
      <c r="R63" s="2" t="s">
        <v>34</v>
      </c>
      <c r="S63" s="4" t="s">
        <v>477</v>
      </c>
    </row>
    <row r="64">
      <c r="A64" s="3">
        <v>44780.68076862268</v>
      </c>
      <c r="B64" s="2" t="s">
        <v>23</v>
      </c>
      <c r="C64" s="2" t="s">
        <v>478</v>
      </c>
      <c r="D64" s="2" t="s">
        <v>479</v>
      </c>
      <c r="E64" s="2" t="s">
        <v>26</v>
      </c>
      <c r="H64" s="2" t="s">
        <v>122</v>
      </c>
      <c r="I64" s="2" t="s">
        <v>480</v>
      </c>
      <c r="J64" s="2" t="s">
        <v>481</v>
      </c>
      <c r="L64" s="2" t="s">
        <v>77</v>
      </c>
      <c r="N64" s="2" t="s">
        <v>87</v>
      </c>
      <c r="R64" s="2" t="s">
        <v>34</v>
      </c>
      <c r="S64" s="4" t="s">
        <v>482</v>
      </c>
    </row>
    <row r="65">
      <c r="A65" s="3">
        <v>44780.682659513885</v>
      </c>
      <c r="B65" s="2" t="s">
        <v>23</v>
      </c>
      <c r="C65" s="2" t="s">
        <v>483</v>
      </c>
      <c r="D65" s="2" t="s">
        <v>479</v>
      </c>
      <c r="E65" s="2" t="s">
        <v>26</v>
      </c>
      <c r="H65" s="2" t="s">
        <v>98</v>
      </c>
      <c r="I65" s="2" t="s">
        <v>145</v>
      </c>
      <c r="J65" s="2" t="s">
        <v>484</v>
      </c>
      <c r="L65" s="2" t="s">
        <v>77</v>
      </c>
      <c r="N65" s="2" t="s">
        <v>87</v>
      </c>
      <c r="P65" s="2" t="s">
        <v>184</v>
      </c>
      <c r="R65" s="2" t="s">
        <v>34</v>
      </c>
      <c r="S65" s="4" t="s">
        <v>485</v>
      </c>
    </row>
    <row r="66">
      <c r="A66" s="3">
        <v>44780.685410300925</v>
      </c>
      <c r="B66" s="2" t="s">
        <v>23</v>
      </c>
      <c r="C66" s="2" t="s">
        <v>486</v>
      </c>
      <c r="D66" s="2" t="s">
        <v>487</v>
      </c>
      <c r="E66" s="2" t="s">
        <v>26</v>
      </c>
      <c r="H66" s="2" t="s">
        <v>74</v>
      </c>
      <c r="I66" s="2" t="s">
        <v>145</v>
      </c>
      <c r="J66" s="2" t="s">
        <v>488</v>
      </c>
      <c r="L66" s="2" t="s">
        <v>77</v>
      </c>
      <c r="N66" s="2" t="s">
        <v>87</v>
      </c>
      <c r="P66" s="2" t="s">
        <v>88</v>
      </c>
      <c r="Q66" s="2" t="s">
        <v>489</v>
      </c>
      <c r="R66" s="2" t="s">
        <v>34</v>
      </c>
      <c r="S66" s="4" t="s">
        <v>490</v>
      </c>
    </row>
    <row r="67">
      <c r="A67" s="3">
        <v>45091.017573391204</v>
      </c>
      <c r="B67" s="2" t="s">
        <v>23</v>
      </c>
      <c r="C67" s="2" t="s">
        <v>491</v>
      </c>
      <c r="D67" s="2" t="s">
        <v>492</v>
      </c>
      <c r="E67" s="2" t="s">
        <v>26</v>
      </c>
      <c r="H67" s="2" t="s">
        <v>98</v>
      </c>
      <c r="I67" s="2" t="s">
        <v>145</v>
      </c>
      <c r="J67" s="2" t="s">
        <v>493</v>
      </c>
      <c r="K67" s="2" t="s">
        <v>67</v>
      </c>
      <c r="L67" s="2" t="s">
        <v>77</v>
      </c>
      <c r="N67" s="2" t="s">
        <v>45</v>
      </c>
      <c r="O67" s="2" t="s">
        <v>494</v>
      </c>
      <c r="R67" s="2" t="s">
        <v>34</v>
      </c>
      <c r="S67" s="4" t="s">
        <v>495</v>
      </c>
    </row>
    <row r="68">
      <c r="A68" s="3">
        <v>44780.687619375</v>
      </c>
      <c r="B68" s="2" t="s">
        <v>23</v>
      </c>
      <c r="C68" s="2" t="s">
        <v>496</v>
      </c>
      <c r="D68" s="2" t="s">
        <v>497</v>
      </c>
      <c r="E68" s="2" t="s">
        <v>26</v>
      </c>
      <c r="H68" s="2" t="s">
        <v>98</v>
      </c>
      <c r="I68" s="2" t="s">
        <v>75</v>
      </c>
      <c r="J68" s="2" t="s">
        <v>498</v>
      </c>
      <c r="L68" s="2" t="s">
        <v>68</v>
      </c>
      <c r="O68" s="2" t="s">
        <v>499</v>
      </c>
      <c r="P68" s="2" t="s">
        <v>59</v>
      </c>
      <c r="R68" s="2" t="s">
        <v>34</v>
      </c>
      <c r="S68" s="4" t="s">
        <v>500</v>
      </c>
    </row>
    <row r="69">
      <c r="A69" s="3">
        <v>44780.689324861116</v>
      </c>
      <c r="B69" s="2" t="s">
        <v>23</v>
      </c>
      <c r="C69" s="2" t="s">
        <v>501</v>
      </c>
      <c r="D69" s="2" t="s">
        <v>502</v>
      </c>
      <c r="E69" s="2" t="s">
        <v>26</v>
      </c>
      <c r="H69" s="2" t="s">
        <v>98</v>
      </c>
      <c r="I69" s="2" t="s">
        <v>75</v>
      </c>
      <c r="J69" s="2" t="s">
        <v>503</v>
      </c>
      <c r="L69" s="2" t="s">
        <v>68</v>
      </c>
      <c r="O69" s="2" t="s">
        <v>504</v>
      </c>
      <c r="P69" s="2" t="s">
        <v>505</v>
      </c>
      <c r="Q69" s="2" t="s">
        <v>506</v>
      </c>
      <c r="R69" s="2" t="s">
        <v>34</v>
      </c>
      <c r="S69" s="4" t="s">
        <v>507</v>
      </c>
    </row>
    <row r="70">
      <c r="A70" s="3">
        <v>44780.69092256944</v>
      </c>
      <c r="B70" s="2" t="s">
        <v>23</v>
      </c>
      <c r="C70" s="2" t="s">
        <v>508</v>
      </c>
      <c r="D70" s="2" t="s">
        <v>509</v>
      </c>
      <c r="E70" s="2" t="s">
        <v>109</v>
      </c>
      <c r="F70" s="2" t="s">
        <v>51</v>
      </c>
      <c r="H70" s="2" t="s">
        <v>98</v>
      </c>
      <c r="I70" s="2" t="s">
        <v>145</v>
      </c>
      <c r="J70" s="2" t="s">
        <v>510</v>
      </c>
      <c r="L70" s="2" t="s">
        <v>77</v>
      </c>
      <c r="N70" s="2" t="s">
        <v>87</v>
      </c>
      <c r="P70" s="2" t="s">
        <v>511</v>
      </c>
      <c r="Q70" s="2" t="s">
        <v>512</v>
      </c>
      <c r="R70" s="2" t="s">
        <v>34</v>
      </c>
      <c r="S70" s="4" t="s">
        <v>513</v>
      </c>
    </row>
    <row r="71">
      <c r="A71" s="3">
        <v>44780.693928043984</v>
      </c>
      <c r="B71" s="2" t="s">
        <v>23</v>
      </c>
      <c r="C71" s="2" t="s">
        <v>514</v>
      </c>
      <c r="D71" s="2" t="s">
        <v>509</v>
      </c>
      <c r="E71" s="2" t="s">
        <v>26</v>
      </c>
      <c r="F71" s="2" t="s">
        <v>193</v>
      </c>
      <c r="G71" s="2" t="s">
        <v>515</v>
      </c>
      <c r="H71" s="2" t="s">
        <v>122</v>
      </c>
      <c r="I71" s="2" t="s">
        <v>145</v>
      </c>
      <c r="J71" s="2" t="s">
        <v>516</v>
      </c>
      <c r="O71" s="2" t="s">
        <v>517</v>
      </c>
      <c r="P71" s="2" t="s">
        <v>518</v>
      </c>
      <c r="R71" s="2" t="s">
        <v>34</v>
      </c>
      <c r="S71" s="4" t="s">
        <v>519</v>
      </c>
    </row>
    <row r="72">
      <c r="A72" s="3">
        <v>44780.69684958333</v>
      </c>
      <c r="B72" s="2" t="s">
        <v>23</v>
      </c>
      <c r="C72" s="2" t="s">
        <v>520</v>
      </c>
      <c r="D72" s="2" t="s">
        <v>521</v>
      </c>
      <c r="E72" s="2" t="s">
        <v>26</v>
      </c>
      <c r="F72" s="2" t="s">
        <v>234</v>
      </c>
      <c r="H72" s="2" t="s">
        <v>39</v>
      </c>
      <c r="I72" s="2" t="s">
        <v>75</v>
      </c>
      <c r="J72" s="2" t="s">
        <v>146</v>
      </c>
      <c r="L72" s="2" t="s">
        <v>77</v>
      </c>
      <c r="O72" s="2" t="s">
        <v>522</v>
      </c>
      <c r="P72" s="2" t="s">
        <v>523</v>
      </c>
      <c r="Q72" s="2" t="s">
        <v>524</v>
      </c>
      <c r="R72" s="2" t="s">
        <v>34</v>
      </c>
      <c r="S72" s="4" t="s">
        <v>525</v>
      </c>
    </row>
    <row r="73">
      <c r="A73" s="3">
        <v>44887.800156412035</v>
      </c>
      <c r="B73" s="2" t="s">
        <v>23</v>
      </c>
      <c r="C73" s="2" t="s">
        <v>526</v>
      </c>
      <c r="D73" s="2" t="s">
        <v>527</v>
      </c>
      <c r="E73" s="2" t="s">
        <v>109</v>
      </c>
      <c r="F73" s="2" t="s">
        <v>51</v>
      </c>
      <c r="I73" s="2" t="s">
        <v>298</v>
      </c>
      <c r="J73" s="2" t="s">
        <v>528</v>
      </c>
      <c r="K73" s="2" t="s">
        <v>42</v>
      </c>
      <c r="L73" s="2" t="s">
        <v>77</v>
      </c>
      <c r="M73" s="2" t="s">
        <v>529</v>
      </c>
      <c r="N73" s="2" t="s">
        <v>87</v>
      </c>
      <c r="P73" s="2" t="s">
        <v>530</v>
      </c>
      <c r="R73" s="2" t="s">
        <v>34</v>
      </c>
      <c r="S73" s="4" t="s">
        <v>531</v>
      </c>
    </row>
    <row r="74">
      <c r="A74" s="3">
        <v>44918.129232569445</v>
      </c>
      <c r="B74" s="2" t="s">
        <v>23</v>
      </c>
      <c r="C74" s="2" t="s">
        <v>532</v>
      </c>
      <c r="D74" s="2" t="s">
        <v>533</v>
      </c>
      <c r="E74" s="2" t="s">
        <v>241</v>
      </c>
      <c r="F74" s="2" t="s">
        <v>51</v>
      </c>
      <c r="H74" s="2" t="s">
        <v>64</v>
      </c>
      <c r="I74" s="2" t="s">
        <v>534</v>
      </c>
      <c r="J74" s="2" t="s">
        <v>535</v>
      </c>
      <c r="K74" s="2" t="s">
        <v>67</v>
      </c>
      <c r="L74" s="2" t="s">
        <v>43</v>
      </c>
      <c r="M74" s="2" t="s">
        <v>536</v>
      </c>
      <c r="N74" s="2" t="s">
        <v>87</v>
      </c>
      <c r="P74" s="2" t="s">
        <v>537</v>
      </c>
      <c r="Q74" s="2" t="s">
        <v>538</v>
      </c>
      <c r="R74" s="2" t="s">
        <v>34</v>
      </c>
    </row>
    <row r="75">
      <c r="A75" s="3">
        <v>44904.334642291666</v>
      </c>
      <c r="B75" s="2" t="s">
        <v>23</v>
      </c>
      <c r="C75" s="2" t="s">
        <v>539</v>
      </c>
      <c r="D75" s="2" t="s">
        <v>540</v>
      </c>
      <c r="E75" s="2" t="s">
        <v>26</v>
      </c>
      <c r="G75" s="2" t="s">
        <v>541</v>
      </c>
      <c r="H75" s="2" t="s">
        <v>98</v>
      </c>
      <c r="I75" s="2" t="s">
        <v>84</v>
      </c>
      <c r="J75" s="2" t="s">
        <v>542</v>
      </c>
      <c r="K75" s="2" t="s">
        <v>67</v>
      </c>
      <c r="L75" s="2" t="s">
        <v>43</v>
      </c>
      <c r="M75" s="2" t="s">
        <v>543</v>
      </c>
      <c r="N75" s="2" t="s">
        <v>87</v>
      </c>
      <c r="P75" s="2" t="s">
        <v>544</v>
      </c>
      <c r="R75" s="2" t="s">
        <v>34</v>
      </c>
      <c r="S75" s="4" t="s">
        <v>545</v>
      </c>
    </row>
    <row r="76">
      <c r="A76" s="3">
        <v>45679.94127780093</v>
      </c>
      <c r="B76" s="2" t="s">
        <v>23</v>
      </c>
      <c r="C76" s="2" t="s">
        <v>546</v>
      </c>
      <c r="D76" s="2" t="s">
        <v>547</v>
      </c>
      <c r="E76" s="2" t="s">
        <v>109</v>
      </c>
      <c r="F76" s="2" t="s">
        <v>171</v>
      </c>
      <c r="G76" s="2" t="s">
        <v>548</v>
      </c>
      <c r="H76" s="2" t="s">
        <v>122</v>
      </c>
      <c r="I76" s="2" t="s">
        <v>84</v>
      </c>
      <c r="J76" s="2" t="s">
        <v>549</v>
      </c>
      <c r="K76" s="2" t="s">
        <v>67</v>
      </c>
      <c r="L76" s="2" t="s">
        <v>43</v>
      </c>
      <c r="M76" s="2" t="s">
        <v>550</v>
      </c>
      <c r="N76" s="2" t="s">
        <v>45</v>
      </c>
      <c r="O76" s="2" t="s">
        <v>551</v>
      </c>
      <c r="P76" s="2" t="s">
        <v>552</v>
      </c>
      <c r="Q76" s="2" t="s">
        <v>553</v>
      </c>
      <c r="R76" s="2" t="s">
        <v>34</v>
      </c>
      <c r="S76" s="4" t="s">
        <v>554</v>
      </c>
    </row>
    <row r="77">
      <c r="A77" s="3">
        <v>45047.24616768518</v>
      </c>
      <c r="B77" s="2" t="s">
        <v>23</v>
      </c>
      <c r="C77" s="2" t="s">
        <v>555</v>
      </c>
      <c r="D77" s="2" t="s">
        <v>556</v>
      </c>
      <c r="E77" s="2" t="s">
        <v>26</v>
      </c>
      <c r="F77" s="2" t="s">
        <v>234</v>
      </c>
      <c r="G77" s="2" t="s">
        <v>557</v>
      </c>
      <c r="H77" s="2" t="s">
        <v>39</v>
      </c>
      <c r="I77" s="2" t="s">
        <v>75</v>
      </c>
      <c r="J77" s="2" t="s">
        <v>558</v>
      </c>
      <c r="K77" s="2" t="s">
        <v>42</v>
      </c>
      <c r="L77" s="2" t="s">
        <v>77</v>
      </c>
      <c r="M77" s="2" t="s">
        <v>559</v>
      </c>
      <c r="N77" s="2" t="s">
        <v>45</v>
      </c>
      <c r="O77" s="2" t="s">
        <v>560</v>
      </c>
      <c r="P77" s="2" t="s">
        <v>511</v>
      </c>
      <c r="Q77" s="2" t="s">
        <v>561</v>
      </c>
      <c r="R77" s="2" t="s">
        <v>34</v>
      </c>
      <c r="S77" s="4" t="s">
        <v>562</v>
      </c>
    </row>
    <row r="78">
      <c r="A78" s="3">
        <v>44888.21426278935</v>
      </c>
      <c r="B78" s="2" t="s">
        <v>23</v>
      </c>
      <c r="C78" s="2" t="s">
        <v>563</v>
      </c>
      <c r="D78" s="2" t="s">
        <v>564</v>
      </c>
      <c r="E78" s="2" t="s">
        <v>26</v>
      </c>
      <c r="F78" s="2" t="s">
        <v>38</v>
      </c>
      <c r="H78" s="2" t="s">
        <v>64</v>
      </c>
      <c r="I78" s="2" t="s">
        <v>565</v>
      </c>
      <c r="J78" s="2" t="s">
        <v>566</v>
      </c>
      <c r="L78" s="2" t="s">
        <v>43</v>
      </c>
      <c r="N78" s="2" t="s">
        <v>45</v>
      </c>
      <c r="O78" s="2" t="s">
        <v>567</v>
      </c>
      <c r="P78" s="2" t="s">
        <v>568</v>
      </c>
      <c r="R78" s="2" t="s">
        <v>34</v>
      </c>
      <c r="S78" s="4" t="s">
        <v>569</v>
      </c>
    </row>
    <row r="79">
      <c r="A79" s="3">
        <v>44888.219374548615</v>
      </c>
      <c r="B79" s="2" t="s">
        <v>23</v>
      </c>
      <c r="C79" s="2" t="s">
        <v>570</v>
      </c>
      <c r="D79" s="2" t="s">
        <v>564</v>
      </c>
      <c r="E79" s="2" t="s">
        <v>26</v>
      </c>
      <c r="H79" s="2" t="s">
        <v>64</v>
      </c>
      <c r="I79" s="2" t="s">
        <v>565</v>
      </c>
      <c r="J79" s="2" t="s">
        <v>571</v>
      </c>
      <c r="L79" s="2" t="s">
        <v>43</v>
      </c>
      <c r="N79" s="2" t="s">
        <v>45</v>
      </c>
      <c r="O79" s="2" t="s">
        <v>572</v>
      </c>
      <c r="P79" s="2" t="s">
        <v>573</v>
      </c>
      <c r="R79" s="2" t="s">
        <v>34</v>
      </c>
      <c r="S79" s="4" t="s">
        <v>574</v>
      </c>
    </row>
    <row r="80">
      <c r="A80" s="3">
        <v>45345.96809023149</v>
      </c>
      <c r="B80" s="2" t="s">
        <v>23</v>
      </c>
      <c r="C80" s="2" t="s">
        <v>575</v>
      </c>
      <c r="D80" s="2" t="s">
        <v>576</v>
      </c>
      <c r="E80" s="2" t="s">
        <v>26</v>
      </c>
      <c r="G80" s="2" t="s">
        <v>577</v>
      </c>
      <c r="H80" s="2" t="s">
        <v>74</v>
      </c>
      <c r="I80" s="2" t="s">
        <v>578</v>
      </c>
      <c r="J80" s="2" t="s">
        <v>579</v>
      </c>
      <c r="K80" s="2" t="s">
        <v>67</v>
      </c>
      <c r="L80" s="2" t="s">
        <v>43</v>
      </c>
      <c r="M80" s="2" t="s">
        <v>229</v>
      </c>
      <c r="N80" s="2" t="s">
        <v>57</v>
      </c>
      <c r="O80" s="2" t="s">
        <v>580</v>
      </c>
      <c r="P80" s="2" t="s">
        <v>581</v>
      </c>
      <c r="Q80" s="2" t="s">
        <v>582</v>
      </c>
      <c r="R80" s="2" t="s">
        <v>34</v>
      </c>
      <c r="S80" s="4" t="s">
        <v>583</v>
      </c>
    </row>
    <row r="81">
      <c r="A81" s="3">
        <v>44780.70084980324</v>
      </c>
      <c r="B81" s="2" t="s">
        <v>23</v>
      </c>
      <c r="C81" s="2" t="s">
        <v>584</v>
      </c>
      <c r="D81" s="2" t="s">
        <v>585</v>
      </c>
      <c r="E81" s="2" t="s">
        <v>26</v>
      </c>
      <c r="I81" s="2" t="s">
        <v>298</v>
      </c>
      <c r="J81" s="2" t="s">
        <v>586</v>
      </c>
      <c r="L81" s="2" t="s">
        <v>68</v>
      </c>
      <c r="O81" s="2" t="s">
        <v>587</v>
      </c>
      <c r="Q81" s="2" t="s">
        <v>588</v>
      </c>
      <c r="R81" s="2" t="s">
        <v>34</v>
      </c>
      <c r="S81" s="4" t="s">
        <v>589</v>
      </c>
    </row>
    <row r="82">
      <c r="A82" s="3">
        <v>45061.52101162037</v>
      </c>
      <c r="B82" s="2" t="s">
        <v>23</v>
      </c>
      <c r="C82" s="2" t="s">
        <v>590</v>
      </c>
      <c r="D82" s="2" t="s">
        <v>591</v>
      </c>
      <c r="E82" s="2" t="s">
        <v>26</v>
      </c>
      <c r="H82" s="2" t="s">
        <v>98</v>
      </c>
      <c r="I82" s="2" t="s">
        <v>145</v>
      </c>
      <c r="J82" s="2" t="s">
        <v>592</v>
      </c>
      <c r="K82" s="2" t="s">
        <v>67</v>
      </c>
      <c r="L82" s="2" t="s">
        <v>77</v>
      </c>
      <c r="M82" s="2" t="s">
        <v>593</v>
      </c>
      <c r="N82" s="2" t="s">
        <v>87</v>
      </c>
      <c r="P82" s="2" t="s">
        <v>95</v>
      </c>
      <c r="R82" s="2" t="s">
        <v>34</v>
      </c>
      <c r="S82" s="4" t="s">
        <v>594</v>
      </c>
    </row>
    <row r="83">
      <c r="A83" s="3">
        <v>44813.46930496528</v>
      </c>
      <c r="B83" s="2" t="s">
        <v>23</v>
      </c>
      <c r="C83" s="2" t="s">
        <v>595</v>
      </c>
      <c r="D83" s="2" t="s">
        <v>596</v>
      </c>
      <c r="E83" s="2" t="s">
        <v>26</v>
      </c>
      <c r="I83" s="2" t="s">
        <v>298</v>
      </c>
      <c r="J83" s="2" t="s">
        <v>597</v>
      </c>
      <c r="K83" s="2" t="s">
        <v>67</v>
      </c>
      <c r="L83" s="2" t="s">
        <v>43</v>
      </c>
      <c r="N83" s="2" t="s">
        <v>45</v>
      </c>
      <c r="O83" s="2" t="s">
        <v>598</v>
      </c>
      <c r="Q83" s="2" t="s">
        <v>599</v>
      </c>
      <c r="R83" s="2" t="s">
        <v>34</v>
      </c>
      <c r="S83" s="4" t="s">
        <v>600</v>
      </c>
    </row>
    <row r="84">
      <c r="A84" s="3">
        <v>45457.14171739583</v>
      </c>
      <c r="B84" s="2" t="s">
        <v>23</v>
      </c>
      <c r="C84" s="2" t="s">
        <v>601</v>
      </c>
      <c r="D84" s="2" t="s">
        <v>602</v>
      </c>
      <c r="E84" s="2" t="s">
        <v>26</v>
      </c>
      <c r="I84" s="2" t="s">
        <v>603</v>
      </c>
      <c r="J84" s="2" t="s">
        <v>604</v>
      </c>
      <c r="N84" s="2" t="s">
        <v>57</v>
      </c>
      <c r="O84" s="2" t="s">
        <v>605</v>
      </c>
      <c r="R84" s="2" t="s">
        <v>34</v>
      </c>
      <c r="S84" s="4" t="s">
        <v>606</v>
      </c>
    </row>
    <row r="85">
      <c r="A85" s="3">
        <v>45076.65422380787</v>
      </c>
      <c r="B85" s="2" t="s">
        <v>23</v>
      </c>
      <c r="C85" s="2" t="s">
        <v>607</v>
      </c>
      <c r="D85" s="2" t="s">
        <v>608</v>
      </c>
      <c r="E85" s="2" t="s">
        <v>287</v>
      </c>
      <c r="F85" s="2" t="s">
        <v>609</v>
      </c>
      <c r="G85" s="2" t="s">
        <v>610</v>
      </c>
      <c r="H85" s="2" t="s">
        <v>611</v>
      </c>
      <c r="I85" s="2" t="s">
        <v>612</v>
      </c>
      <c r="J85" s="2" t="s">
        <v>613</v>
      </c>
      <c r="K85" s="2" t="s">
        <v>67</v>
      </c>
      <c r="L85" s="2" t="s">
        <v>43</v>
      </c>
      <c r="M85" s="2" t="s">
        <v>614</v>
      </c>
      <c r="N85" s="2" t="s">
        <v>57</v>
      </c>
      <c r="O85" s="2" t="s">
        <v>615</v>
      </c>
      <c r="P85" s="2" t="s">
        <v>616</v>
      </c>
      <c r="Q85" s="2" t="s">
        <v>617</v>
      </c>
      <c r="R85" s="2" t="s">
        <v>34</v>
      </c>
      <c r="S85" s="4" t="s">
        <v>618</v>
      </c>
    </row>
    <row r="86">
      <c r="A86" s="3">
        <v>44780.702356643524</v>
      </c>
      <c r="B86" s="2" t="s">
        <v>23</v>
      </c>
      <c r="C86" s="2" t="s">
        <v>619</v>
      </c>
      <c r="D86" s="2" t="s">
        <v>620</v>
      </c>
      <c r="E86" s="2" t="s">
        <v>26</v>
      </c>
      <c r="H86" s="2" t="s">
        <v>74</v>
      </c>
      <c r="I86" s="2" t="s">
        <v>578</v>
      </c>
      <c r="J86" s="2" t="s">
        <v>621</v>
      </c>
      <c r="L86" s="2" t="s">
        <v>43</v>
      </c>
      <c r="N86" s="2" t="s">
        <v>87</v>
      </c>
      <c r="P86" s="2" t="s">
        <v>622</v>
      </c>
      <c r="Q86" s="2" t="s">
        <v>623</v>
      </c>
      <c r="R86" s="2" t="s">
        <v>34</v>
      </c>
      <c r="S86" s="4" t="s">
        <v>624</v>
      </c>
    </row>
    <row r="87">
      <c r="A87" s="3">
        <v>44780.70475885417</v>
      </c>
      <c r="B87" s="2" t="s">
        <v>23</v>
      </c>
      <c r="C87" s="2" t="s">
        <v>625</v>
      </c>
      <c r="D87" s="2" t="s">
        <v>620</v>
      </c>
      <c r="E87" s="2" t="s">
        <v>26</v>
      </c>
      <c r="I87" s="2" t="s">
        <v>213</v>
      </c>
      <c r="J87" s="2" t="s">
        <v>626</v>
      </c>
      <c r="L87" s="2" t="s">
        <v>43</v>
      </c>
      <c r="N87" s="2" t="s">
        <v>87</v>
      </c>
      <c r="P87" s="2" t="s">
        <v>627</v>
      </c>
      <c r="Q87" s="2" t="s">
        <v>628</v>
      </c>
      <c r="R87" s="2" t="s">
        <v>34</v>
      </c>
      <c r="S87" s="4" t="s">
        <v>629</v>
      </c>
    </row>
    <row r="88">
      <c r="A88" s="3">
        <v>44784.26274821759</v>
      </c>
      <c r="B88" s="2" t="s">
        <v>23</v>
      </c>
      <c r="C88" s="2" t="s">
        <v>630</v>
      </c>
      <c r="D88" s="2" t="s">
        <v>620</v>
      </c>
      <c r="E88" s="2" t="s">
        <v>26</v>
      </c>
      <c r="H88" s="2" t="s">
        <v>122</v>
      </c>
      <c r="I88" s="2" t="s">
        <v>213</v>
      </c>
      <c r="J88" s="2" t="s">
        <v>631</v>
      </c>
      <c r="K88" s="2" t="s">
        <v>67</v>
      </c>
      <c r="L88" s="2" t="s">
        <v>43</v>
      </c>
      <c r="N88" s="2" t="s">
        <v>276</v>
      </c>
      <c r="P88" s="2" t="s">
        <v>632</v>
      </c>
      <c r="R88" s="2" t="s">
        <v>34</v>
      </c>
      <c r="S88" s="4" t="s">
        <v>633</v>
      </c>
    </row>
    <row r="89">
      <c r="A89" s="3">
        <v>44780.736488703704</v>
      </c>
      <c r="B89" s="2" t="s">
        <v>23</v>
      </c>
      <c r="C89" s="2" t="s">
        <v>634</v>
      </c>
      <c r="D89" s="2" t="s">
        <v>635</v>
      </c>
      <c r="E89" s="2" t="s">
        <v>26</v>
      </c>
      <c r="H89" s="2" t="s">
        <v>98</v>
      </c>
      <c r="I89" s="2" t="s">
        <v>636</v>
      </c>
      <c r="J89" s="2" t="s">
        <v>637</v>
      </c>
      <c r="L89" s="2" t="s">
        <v>43</v>
      </c>
      <c r="O89" s="2" t="s">
        <v>638</v>
      </c>
      <c r="P89" s="2" t="s">
        <v>511</v>
      </c>
      <c r="Q89" s="2" t="s">
        <v>639</v>
      </c>
      <c r="R89" s="2" t="s">
        <v>34</v>
      </c>
      <c r="S89" s="4" t="s">
        <v>640</v>
      </c>
    </row>
    <row r="90">
      <c r="A90" s="3">
        <v>45151.89265675926</v>
      </c>
      <c r="B90" s="2" t="s">
        <v>23</v>
      </c>
      <c r="C90" s="2" t="s">
        <v>641</v>
      </c>
      <c r="D90" s="2" t="s">
        <v>642</v>
      </c>
      <c r="E90" s="2" t="s">
        <v>643</v>
      </c>
      <c r="F90" s="2" t="s">
        <v>644</v>
      </c>
      <c r="G90" s="2" t="s">
        <v>645</v>
      </c>
      <c r="H90" s="2" t="s">
        <v>646</v>
      </c>
      <c r="I90" s="2" t="s">
        <v>647</v>
      </c>
      <c r="J90" s="2" t="s">
        <v>648</v>
      </c>
      <c r="K90" s="2" t="s">
        <v>67</v>
      </c>
      <c r="L90" s="2" t="s">
        <v>77</v>
      </c>
      <c r="M90" s="2" t="s">
        <v>86</v>
      </c>
      <c r="P90" s="2" t="s">
        <v>649</v>
      </c>
      <c r="Q90" s="2" t="s">
        <v>650</v>
      </c>
      <c r="R90" s="2" t="s">
        <v>34</v>
      </c>
      <c r="S90" s="4" t="s">
        <v>651</v>
      </c>
    </row>
    <row r="91">
      <c r="A91" s="3">
        <v>45156.28998798611</v>
      </c>
      <c r="B91" s="2" t="s">
        <v>23</v>
      </c>
      <c r="C91" s="2" t="s">
        <v>652</v>
      </c>
      <c r="D91" s="2" t="s">
        <v>642</v>
      </c>
      <c r="E91" s="2" t="s">
        <v>26</v>
      </c>
      <c r="F91" s="2" t="s">
        <v>653</v>
      </c>
      <c r="G91" s="2" t="s">
        <v>654</v>
      </c>
      <c r="H91" s="2" t="s">
        <v>52</v>
      </c>
      <c r="I91" s="2" t="s">
        <v>655</v>
      </c>
      <c r="J91" s="2" t="s">
        <v>656</v>
      </c>
      <c r="K91" s="2" t="s">
        <v>67</v>
      </c>
      <c r="P91" s="2" t="s">
        <v>88</v>
      </c>
      <c r="Q91" s="2" t="s">
        <v>657</v>
      </c>
      <c r="R91" s="2" t="s">
        <v>34</v>
      </c>
      <c r="S91" s="4" t="s">
        <v>658</v>
      </c>
    </row>
    <row r="92">
      <c r="A92" s="3">
        <v>44780.738974085645</v>
      </c>
      <c r="B92" s="2" t="s">
        <v>23</v>
      </c>
      <c r="C92" s="2" t="s">
        <v>659</v>
      </c>
      <c r="D92" s="2" t="s">
        <v>660</v>
      </c>
      <c r="E92" s="2" t="s">
        <v>26</v>
      </c>
      <c r="H92" s="2" t="s">
        <v>98</v>
      </c>
      <c r="I92" s="2" t="s">
        <v>661</v>
      </c>
      <c r="J92" s="2" t="s">
        <v>662</v>
      </c>
      <c r="L92" s="2" t="s">
        <v>77</v>
      </c>
      <c r="N92" s="2" t="s">
        <v>87</v>
      </c>
      <c r="Q92" s="2" t="s">
        <v>663</v>
      </c>
      <c r="R92" s="2" t="s">
        <v>34</v>
      </c>
      <c r="S92" s="4" t="s">
        <v>664</v>
      </c>
    </row>
    <row r="93">
      <c r="A93" s="3">
        <v>44780.74055260417</v>
      </c>
      <c r="B93" s="2" t="s">
        <v>23</v>
      </c>
      <c r="C93" s="2" t="s">
        <v>665</v>
      </c>
      <c r="D93" s="2" t="s">
        <v>666</v>
      </c>
      <c r="E93" s="2" t="s">
        <v>26</v>
      </c>
      <c r="H93" s="2" t="s">
        <v>64</v>
      </c>
      <c r="I93" s="2" t="s">
        <v>93</v>
      </c>
      <c r="J93" s="2" t="s">
        <v>667</v>
      </c>
      <c r="L93" s="2" t="s">
        <v>77</v>
      </c>
      <c r="O93" s="2" t="s">
        <v>668</v>
      </c>
      <c r="R93" s="2" t="s">
        <v>34</v>
      </c>
      <c r="S93" s="4" t="s">
        <v>669</v>
      </c>
    </row>
    <row r="94">
      <c r="A94" s="3">
        <v>44780.742166145836</v>
      </c>
      <c r="B94" s="2" t="s">
        <v>23</v>
      </c>
      <c r="C94" s="2" t="s">
        <v>670</v>
      </c>
      <c r="D94" s="2" t="s">
        <v>671</v>
      </c>
      <c r="E94" s="2" t="s">
        <v>26</v>
      </c>
      <c r="H94" s="2" t="s">
        <v>52</v>
      </c>
      <c r="I94" s="2" t="s">
        <v>84</v>
      </c>
      <c r="J94" s="2" t="s">
        <v>672</v>
      </c>
      <c r="L94" s="2" t="s">
        <v>77</v>
      </c>
      <c r="O94" s="2" t="s">
        <v>673</v>
      </c>
      <c r="P94" s="2" t="s">
        <v>674</v>
      </c>
      <c r="R94" s="2" t="s">
        <v>34</v>
      </c>
      <c r="S94" s="4" t="s">
        <v>675</v>
      </c>
    </row>
    <row r="95">
      <c r="A95" s="3">
        <v>44780.74492300926</v>
      </c>
      <c r="B95" s="2" t="s">
        <v>23</v>
      </c>
      <c r="C95" s="2" t="s">
        <v>676</v>
      </c>
      <c r="D95" s="2" t="s">
        <v>671</v>
      </c>
      <c r="E95" s="2" t="s">
        <v>26</v>
      </c>
      <c r="H95" s="2" t="s">
        <v>122</v>
      </c>
      <c r="I95" s="2" t="s">
        <v>84</v>
      </c>
      <c r="J95" s="2" t="s">
        <v>677</v>
      </c>
      <c r="L95" s="2" t="s">
        <v>77</v>
      </c>
      <c r="N95" s="2" t="s">
        <v>87</v>
      </c>
      <c r="R95" s="2" t="s">
        <v>34</v>
      </c>
      <c r="S95" s="4" t="s">
        <v>678</v>
      </c>
    </row>
    <row r="96">
      <c r="A96" s="3">
        <v>44782.81373534723</v>
      </c>
      <c r="B96" s="2" t="s">
        <v>23</v>
      </c>
      <c r="C96" s="2" t="s">
        <v>679</v>
      </c>
      <c r="D96" s="2" t="s">
        <v>680</v>
      </c>
      <c r="E96" s="2" t="s">
        <v>681</v>
      </c>
      <c r="F96" s="2" t="s">
        <v>297</v>
      </c>
      <c r="G96" s="2" t="s">
        <v>682</v>
      </c>
      <c r="H96" s="2" t="s">
        <v>64</v>
      </c>
      <c r="I96" s="2" t="s">
        <v>683</v>
      </c>
      <c r="J96" s="2" t="s">
        <v>684</v>
      </c>
      <c r="K96" s="2" t="s">
        <v>67</v>
      </c>
      <c r="L96" s="2" t="s">
        <v>43</v>
      </c>
      <c r="N96" s="2" t="s">
        <v>87</v>
      </c>
      <c r="P96" s="2" t="s">
        <v>408</v>
      </c>
      <c r="Q96" s="2" t="s">
        <v>685</v>
      </c>
      <c r="R96" s="2" t="s">
        <v>34</v>
      </c>
      <c r="S96" s="4" t="s">
        <v>686</v>
      </c>
    </row>
    <row r="97">
      <c r="A97" s="3">
        <v>45481.893351921295</v>
      </c>
      <c r="B97" s="2" t="s">
        <v>23</v>
      </c>
      <c r="C97" s="2" t="s">
        <v>687</v>
      </c>
      <c r="D97" s="2" t="s">
        <v>688</v>
      </c>
      <c r="E97" s="2" t="s">
        <v>689</v>
      </c>
      <c r="F97" s="2" t="s">
        <v>51</v>
      </c>
      <c r="H97" s="2" t="s">
        <v>39</v>
      </c>
      <c r="I97" s="2" t="s">
        <v>565</v>
      </c>
      <c r="J97" s="2" t="s">
        <v>690</v>
      </c>
      <c r="K97" s="2" t="s">
        <v>67</v>
      </c>
      <c r="L97" s="2" t="s">
        <v>154</v>
      </c>
      <c r="N97" s="2" t="s">
        <v>57</v>
      </c>
      <c r="O97" s="2" t="s">
        <v>691</v>
      </c>
      <c r="P97" s="2" t="s">
        <v>692</v>
      </c>
      <c r="R97" s="2" t="s">
        <v>34</v>
      </c>
      <c r="S97" s="4" t="s">
        <v>693</v>
      </c>
    </row>
    <row r="98">
      <c r="A98" s="3">
        <v>44809.105480185186</v>
      </c>
      <c r="B98" s="2" t="s">
        <v>23</v>
      </c>
      <c r="C98" s="2" t="s">
        <v>694</v>
      </c>
      <c r="D98" s="2" t="s">
        <v>695</v>
      </c>
      <c r="E98" s="2" t="s">
        <v>26</v>
      </c>
      <c r="F98" s="2" t="s">
        <v>193</v>
      </c>
      <c r="G98" s="2" t="s">
        <v>696</v>
      </c>
      <c r="H98" s="2" t="s">
        <v>64</v>
      </c>
      <c r="I98" s="2" t="s">
        <v>84</v>
      </c>
      <c r="J98" s="2" t="s">
        <v>697</v>
      </c>
      <c r="K98" s="2" t="s">
        <v>67</v>
      </c>
      <c r="L98" s="2" t="s">
        <v>68</v>
      </c>
      <c r="M98" s="2" t="s">
        <v>698</v>
      </c>
      <c r="N98" s="2" t="s">
        <v>87</v>
      </c>
      <c r="P98" s="2" t="s">
        <v>95</v>
      </c>
      <c r="Q98" s="2" t="s">
        <v>699</v>
      </c>
      <c r="R98" s="2" t="s">
        <v>34</v>
      </c>
      <c r="S98" s="4" t="s">
        <v>700</v>
      </c>
    </row>
    <row r="99">
      <c r="A99" s="3">
        <v>45679.922898715275</v>
      </c>
      <c r="B99" s="2" t="s">
        <v>23</v>
      </c>
      <c r="C99" s="2" t="s">
        <v>701</v>
      </c>
      <c r="D99" s="2" t="s">
        <v>702</v>
      </c>
      <c r="E99" s="2" t="s">
        <v>26</v>
      </c>
      <c r="F99" s="2" t="s">
        <v>703</v>
      </c>
      <c r="G99" s="2" t="s">
        <v>704</v>
      </c>
      <c r="H99" s="2" t="s">
        <v>74</v>
      </c>
      <c r="I99" s="2" t="s">
        <v>145</v>
      </c>
      <c r="J99" s="2" t="s">
        <v>705</v>
      </c>
      <c r="K99" s="2" t="s">
        <v>67</v>
      </c>
      <c r="L99" s="2" t="s">
        <v>43</v>
      </c>
      <c r="M99" s="2" t="s">
        <v>706</v>
      </c>
      <c r="N99" s="2" t="s">
        <v>45</v>
      </c>
      <c r="O99" s="2" t="s">
        <v>707</v>
      </c>
      <c r="P99" s="2" t="s">
        <v>224</v>
      </c>
      <c r="Q99" s="2" t="s">
        <v>708</v>
      </c>
      <c r="R99" s="2" t="s">
        <v>34</v>
      </c>
      <c r="S99" s="4" t="s">
        <v>709</v>
      </c>
    </row>
    <row r="100">
      <c r="A100" s="3">
        <v>44780.74873337963</v>
      </c>
      <c r="B100" s="2" t="s">
        <v>23</v>
      </c>
      <c r="C100" s="2" t="s">
        <v>710</v>
      </c>
      <c r="D100" s="2" t="s">
        <v>711</v>
      </c>
      <c r="E100" s="2" t="s">
        <v>26</v>
      </c>
      <c r="H100" s="2" t="s">
        <v>64</v>
      </c>
      <c r="I100" s="2" t="s">
        <v>93</v>
      </c>
      <c r="J100" s="2" t="s">
        <v>712</v>
      </c>
      <c r="L100" s="2" t="s">
        <v>77</v>
      </c>
      <c r="O100" s="2" t="s">
        <v>713</v>
      </c>
      <c r="P100" s="2" t="s">
        <v>230</v>
      </c>
      <c r="R100" s="2" t="s">
        <v>34</v>
      </c>
      <c r="S100" s="4" t="s">
        <v>714</v>
      </c>
    </row>
    <row r="101">
      <c r="A101" s="3">
        <v>44927.68446290509</v>
      </c>
      <c r="B101" s="2" t="s">
        <v>23</v>
      </c>
      <c r="C101" s="2" t="s">
        <v>715</v>
      </c>
      <c r="D101" s="2" t="s">
        <v>716</v>
      </c>
      <c r="E101" s="2" t="s">
        <v>26</v>
      </c>
      <c r="G101" s="2" t="s">
        <v>717</v>
      </c>
      <c r="H101" s="2" t="s">
        <v>98</v>
      </c>
      <c r="I101" s="2" t="s">
        <v>718</v>
      </c>
      <c r="J101" s="2" t="s">
        <v>719</v>
      </c>
      <c r="K101" s="2" t="s">
        <v>67</v>
      </c>
      <c r="L101" s="2" t="s">
        <v>77</v>
      </c>
      <c r="N101" s="2" t="s">
        <v>45</v>
      </c>
      <c r="O101" s="2" t="s">
        <v>720</v>
      </c>
      <c r="P101" s="2" t="s">
        <v>95</v>
      </c>
      <c r="Q101" s="2" t="s">
        <v>721</v>
      </c>
      <c r="R101" s="2" t="s">
        <v>34</v>
      </c>
      <c r="S101" s="4" t="s">
        <v>722</v>
      </c>
    </row>
    <row r="102">
      <c r="A102" s="3">
        <v>45056.122679120366</v>
      </c>
      <c r="B102" s="2" t="s">
        <v>23</v>
      </c>
      <c r="C102" s="2" t="s">
        <v>723</v>
      </c>
      <c r="D102" s="2" t="s">
        <v>724</v>
      </c>
      <c r="E102" s="2" t="s">
        <v>26</v>
      </c>
      <c r="H102" s="2" t="s">
        <v>74</v>
      </c>
      <c r="I102" s="2" t="s">
        <v>725</v>
      </c>
      <c r="J102" s="2" t="s">
        <v>726</v>
      </c>
      <c r="K102" s="2" t="s">
        <v>67</v>
      </c>
      <c r="L102" s="2" t="s">
        <v>43</v>
      </c>
      <c r="M102" s="2" t="s">
        <v>727</v>
      </c>
      <c r="N102" s="2" t="s">
        <v>45</v>
      </c>
      <c r="O102" s="2" t="s">
        <v>728</v>
      </c>
      <c r="P102" s="2" t="s">
        <v>729</v>
      </c>
      <c r="Q102" s="2" t="s">
        <v>730</v>
      </c>
      <c r="R102" s="2" t="s">
        <v>34</v>
      </c>
      <c r="S102" s="7" t="s">
        <v>731</v>
      </c>
    </row>
    <row r="103">
      <c r="A103" s="3">
        <v>44780.75263204861</v>
      </c>
      <c r="B103" s="2" t="s">
        <v>23</v>
      </c>
      <c r="C103" s="2" t="s">
        <v>732</v>
      </c>
      <c r="D103" s="2" t="s">
        <v>733</v>
      </c>
      <c r="E103" s="2" t="s">
        <v>26</v>
      </c>
      <c r="H103" s="2" t="s">
        <v>98</v>
      </c>
      <c r="I103" s="2" t="s">
        <v>75</v>
      </c>
      <c r="J103" s="2" t="s">
        <v>734</v>
      </c>
      <c r="L103" s="2" t="s">
        <v>77</v>
      </c>
      <c r="O103" s="2" t="s">
        <v>735</v>
      </c>
      <c r="P103" s="2" t="s">
        <v>736</v>
      </c>
      <c r="R103" s="2" t="s">
        <v>34</v>
      </c>
      <c r="S103" s="4" t="s">
        <v>737</v>
      </c>
    </row>
    <row r="104">
      <c r="A104" s="3">
        <v>44780.75449043982</v>
      </c>
      <c r="B104" s="2" t="s">
        <v>23</v>
      </c>
      <c r="C104" s="2" t="s">
        <v>738</v>
      </c>
      <c r="D104" s="2" t="s">
        <v>733</v>
      </c>
      <c r="E104" s="2" t="s">
        <v>26</v>
      </c>
      <c r="H104" s="2" t="s">
        <v>98</v>
      </c>
      <c r="I104" s="2" t="s">
        <v>75</v>
      </c>
      <c r="J104" s="2" t="s">
        <v>739</v>
      </c>
      <c r="L104" s="2" t="s">
        <v>43</v>
      </c>
      <c r="O104" s="2" t="s">
        <v>740</v>
      </c>
      <c r="P104" s="2" t="s">
        <v>741</v>
      </c>
      <c r="R104" s="2" t="s">
        <v>34</v>
      </c>
      <c r="S104" s="4" t="s">
        <v>742</v>
      </c>
    </row>
    <row r="105">
      <c r="A105" s="3">
        <v>44780.756145057865</v>
      </c>
      <c r="B105" s="2" t="s">
        <v>23</v>
      </c>
      <c r="C105" s="2" t="s">
        <v>743</v>
      </c>
      <c r="D105" s="2" t="s">
        <v>744</v>
      </c>
      <c r="E105" s="2" t="s">
        <v>26</v>
      </c>
      <c r="I105" s="2" t="s">
        <v>462</v>
      </c>
      <c r="J105" s="2" t="s">
        <v>745</v>
      </c>
      <c r="L105" s="2" t="s">
        <v>154</v>
      </c>
      <c r="O105" s="2" t="s">
        <v>746</v>
      </c>
      <c r="P105" s="2" t="s">
        <v>95</v>
      </c>
      <c r="R105" s="2" t="s">
        <v>34</v>
      </c>
      <c r="S105" s="4" t="s">
        <v>747</v>
      </c>
    </row>
    <row r="106">
      <c r="A106" s="3">
        <v>44780.7577747801</v>
      </c>
      <c r="B106" s="2" t="s">
        <v>23</v>
      </c>
      <c r="C106" s="2" t="s">
        <v>748</v>
      </c>
      <c r="D106" s="2" t="s">
        <v>749</v>
      </c>
      <c r="E106" s="2" t="s">
        <v>26</v>
      </c>
      <c r="H106" s="2" t="s">
        <v>52</v>
      </c>
      <c r="I106" s="2" t="s">
        <v>750</v>
      </c>
      <c r="J106" s="2" t="s">
        <v>751</v>
      </c>
      <c r="L106" s="2" t="s">
        <v>43</v>
      </c>
      <c r="O106" s="2" t="s">
        <v>752</v>
      </c>
      <c r="P106" s="2" t="s">
        <v>511</v>
      </c>
      <c r="R106" s="2" t="s">
        <v>34</v>
      </c>
      <c r="S106" s="4" t="s">
        <v>753</v>
      </c>
    </row>
    <row r="107">
      <c r="A107" s="3">
        <v>44808.868606944445</v>
      </c>
      <c r="B107" s="2" t="s">
        <v>23</v>
      </c>
      <c r="C107" s="2" t="s">
        <v>754</v>
      </c>
      <c r="D107" s="2" t="s">
        <v>755</v>
      </c>
      <c r="E107" s="2" t="s">
        <v>26</v>
      </c>
      <c r="H107" s="2" t="s">
        <v>64</v>
      </c>
      <c r="I107" s="2" t="s">
        <v>298</v>
      </c>
      <c r="J107" s="2" t="s">
        <v>503</v>
      </c>
      <c r="K107" s="2" t="s">
        <v>67</v>
      </c>
      <c r="L107" s="2" t="s">
        <v>43</v>
      </c>
      <c r="M107" s="2" t="s">
        <v>756</v>
      </c>
      <c r="P107" s="2" t="s">
        <v>195</v>
      </c>
      <c r="Q107" s="2" t="s">
        <v>757</v>
      </c>
      <c r="R107" s="2" t="s">
        <v>34</v>
      </c>
      <c r="S107" s="4" t="s">
        <v>758</v>
      </c>
    </row>
    <row r="108">
      <c r="A108" s="3">
        <v>45077.809078182865</v>
      </c>
      <c r="B108" s="2" t="s">
        <v>23</v>
      </c>
      <c r="C108" s="2" t="s">
        <v>759</v>
      </c>
      <c r="D108" s="2" t="s">
        <v>755</v>
      </c>
      <c r="E108" s="2" t="s">
        <v>26</v>
      </c>
      <c r="H108" s="2" t="s">
        <v>64</v>
      </c>
      <c r="I108" s="2" t="s">
        <v>243</v>
      </c>
      <c r="J108" s="2" t="s">
        <v>760</v>
      </c>
      <c r="K108" s="2" t="s">
        <v>67</v>
      </c>
      <c r="L108" s="2" t="s">
        <v>55</v>
      </c>
      <c r="M108" s="2" t="s">
        <v>761</v>
      </c>
      <c r="N108" s="2" t="s">
        <v>45</v>
      </c>
      <c r="P108" s="2" t="s">
        <v>674</v>
      </c>
      <c r="R108" s="2" t="s">
        <v>34</v>
      </c>
      <c r="S108" s="4" t="s">
        <v>762</v>
      </c>
    </row>
    <row r="109">
      <c r="A109" s="3">
        <v>44780.76198623843</v>
      </c>
      <c r="B109" s="2" t="s">
        <v>23</v>
      </c>
      <c r="C109" s="2" t="s">
        <v>763</v>
      </c>
      <c r="D109" s="2" t="s">
        <v>764</v>
      </c>
      <c r="E109" s="2" t="s">
        <v>26</v>
      </c>
      <c r="H109" s="2" t="s">
        <v>39</v>
      </c>
      <c r="I109" s="2" t="s">
        <v>765</v>
      </c>
      <c r="J109" s="2" t="s">
        <v>766</v>
      </c>
      <c r="L109" s="2" t="s">
        <v>77</v>
      </c>
      <c r="N109" s="2" t="s">
        <v>87</v>
      </c>
      <c r="P109" s="2" t="s">
        <v>505</v>
      </c>
      <c r="Q109" s="2" t="s">
        <v>767</v>
      </c>
      <c r="R109" s="2" t="s">
        <v>34</v>
      </c>
      <c r="S109" s="4" t="s">
        <v>768</v>
      </c>
    </row>
    <row r="110">
      <c r="A110" s="3">
        <v>44780.76669236111</v>
      </c>
      <c r="B110" s="2" t="s">
        <v>23</v>
      </c>
      <c r="C110" s="2" t="s">
        <v>769</v>
      </c>
      <c r="D110" s="2" t="s">
        <v>764</v>
      </c>
      <c r="E110" s="2" t="s">
        <v>26</v>
      </c>
      <c r="H110" s="2" t="s">
        <v>98</v>
      </c>
      <c r="I110" s="2" t="s">
        <v>75</v>
      </c>
      <c r="J110" s="2" t="s">
        <v>770</v>
      </c>
      <c r="L110" s="2" t="s">
        <v>43</v>
      </c>
      <c r="O110" s="2" t="s">
        <v>771</v>
      </c>
      <c r="P110" s="2" t="s">
        <v>435</v>
      </c>
      <c r="Q110" s="2" t="s">
        <v>772</v>
      </c>
      <c r="R110" s="2" t="s">
        <v>34</v>
      </c>
      <c r="S110" s="4" t="s">
        <v>773</v>
      </c>
    </row>
    <row r="111">
      <c r="A111" s="3">
        <v>44780.77010052084</v>
      </c>
      <c r="B111" s="2" t="s">
        <v>23</v>
      </c>
      <c r="C111" s="2" t="s">
        <v>774</v>
      </c>
      <c r="D111" s="2" t="s">
        <v>764</v>
      </c>
      <c r="E111" s="2" t="s">
        <v>26</v>
      </c>
      <c r="I111" s="2" t="s">
        <v>765</v>
      </c>
      <c r="J111" s="2" t="s">
        <v>775</v>
      </c>
      <c r="L111" s="2" t="s">
        <v>77</v>
      </c>
      <c r="O111" s="2" t="s">
        <v>776</v>
      </c>
      <c r="P111" s="2" t="s">
        <v>435</v>
      </c>
      <c r="Q111" s="2" t="s">
        <v>777</v>
      </c>
      <c r="R111" s="2" t="s">
        <v>34</v>
      </c>
      <c r="S111" s="4" t="s">
        <v>778</v>
      </c>
    </row>
    <row r="112">
      <c r="A112" s="3">
        <v>45001.47975172454</v>
      </c>
      <c r="B112" s="2" t="s">
        <v>23</v>
      </c>
      <c r="C112" s="2" t="s">
        <v>779</v>
      </c>
      <c r="D112" s="2" t="s">
        <v>780</v>
      </c>
      <c r="E112" s="2" t="s">
        <v>26</v>
      </c>
      <c r="H112" s="2" t="s">
        <v>74</v>
      </c>
      <c r="I112" s="2" t="s">
        <v>93</v>
      </c>
      <c r="J112" s="2" t="s">
        <v>781</v>
      </c>
      <c r="L112" s="2" t="s">
        <v>43</v>
      </c>
      <c r="M112" s="2" t="s">
        <v>86</v>
      </c>
      <c r="N112" s="2" t="s">
        <v>45</v>
      </c>
      <c r="P112" s="2" t="s">
        <v>782</v>
      </c>
      <c r="R112" s="2" t="s">
        <v>34</v>
      </c>
      <c r="S112" s="4" t="s">
        <v>783</v>
      </c>
    </row>
    <row r="113">
      <c r="A113" s="3">
        <v>44780.77183262732</v>
      </c>
      <c r="B113" s="2" t="s">
        <v>23</v>
      </c>
      <c r="C113" s="2" t="s">
        <v>784</v>
      </c>
      <c r="D113" s="2" t="s">
        <v>785</v>
      </c>
      <c r="E113" s="2" t="s">
        <v>26</v>
      </c>
      <c r="H113" s="2" t="s">
        <v>98</v>
      </c>
      <c r="I113" s="2" t="s">
        <v>145</v>
      </c>
      <c r="J113" s="2" t="s">
        <v>786</v>
      </c>
      <c r="L113" s="2" t="s">
        <v>43</v>
      </c>
      <c r="N113" s="2" t="s">
        <v>87</v>
      </c>
      <c r="P113" s="2" t="s">
        <v>787</v>
      </c>
      <c r="Q113" s="2" t="s">
        <v>788</v>
      </c>
      <c r="R113" s="2" t="s">
        <v>34</v>
      </c>
      <c r="S113" s="4" t="s">
        <v>789</v>
      </c>
    </row>
    <row r="114">
      <c r="A114" s="3">
        <v>45089.23865989583</v>
      </c>
      <c r="B114" s="2" t="s">
        <v>23</v>
      </c>
      <c r="C114" s="2" t="s">
        <v>790</v>
      </c>
      <c r="D114" s="2" t="s">
        <v>791</v>
      </c>
      <c r="E114" s="2" t="s">
        <v>26</v>
      </c>
      <c r="H114" s="2" t="s">
        <v>98</v>
      </c>
      <c r="I114" s="2" t="s">
        <v>792</v>
      </c>
      <c r="J114" s="2" t="s">
        <v>793</v>
      </c>
      <c r="L114" s="2" t="s">
        <v>55</v>
      </c>
      <c r="M114" s="2" t="s">
        <v>794</v>
      </c>
      <c r="N114" s="2" t="s">
        <v>87</v>
      </c>
      <c r="P114" s="2" t="s">
        <v>795</v>
      </c>
      <c r="R114" s="2" t="s">
        <v>34</v>
      </c>
      <c r="S114" s="4" t="s">
        <v>796</v>
      </c>
    </row>
    <row r="115">
      <c r="A115" s="3">
        <v>44780.77435717593</v>
      </c>
      <c r="B115" s="2" t="s">
        <v>23</v>
      </c>
      <c r="C115" s="2" t="s">
        <v>797</v>
      </c>
      <c r="D115" s="2" t="s">
        <v>798</v>
      </c>
      <c r="E115" s="2" t="s">
        <v>26</v>
      </c>
      <c r="I115" s="2" t="s">
        <v>145</v>
      </c>
      <c r="J115" s="2" t="s">
        <v>799</v>
      </c>
      <c r="L115" s="2" t="s">
        <v>43</v>
      </c>
      <c r="O115" s="2" t="s">
        <v>800</v>
      </c>
      <c r="P115" s="2" t="s">
        <v>801</v>
      </c>
      <c r="R115" s="2" t="s">
        <v>34</v>
      </c>
      <c r="S115" s="4" t="s">
        <v>802</v>
      </c>
    </row>
    <row r="116">
      <c r="A116" s="3">
        <v>45007.306888125</v>
      </c>
      <c r="B116" s="2" t="s">
        <v>23</v>
      </c>
      <c r="C116" s="2" t="s">
        <v>803</v>
      </c>
      <c r="D116" s="2" t="s">
        <v>804</v>
      </c>
      <c r="E116" s="2" t="s">
        <v>26</v>
      </c>
      <c r="G116" s="2" t="s">
        <v>805</v>
      </c>
      <c r="H116" s="2" t="s">
        <v>806</v>
      </c>
      <c r="I116" s="2" t="s">
        <v>807</v>
      </c>
      <c r="J116" s="2" t="s">
        <v>808</v>
      </c>
      <c r="K116" s="2" t="s">
        <v>809</v>
      </c>
      <c r="L116" s="2" t="s">
        <v>43</v>
      </c>
      <c r="M116" s="2" t="s">
        <v>810</v>
      </c>
      <c r="N116" s="2" t="s">
        <v>87</v>
      </c>
      <c r="P116" s="2" t="s">
        <v>811</v>
      </c>
      <c r="Q116" s="2" t="s">
        <v>812</v>
      </c>
      <c r="R116" s="2" t="s">
        <v>185</v>
      </c>
      <c r="S116" s="4" t="s">
        <v>813</v>
      </c>
    </row>
    <row r="117">
      <c r="A117" s="3">
        <v>44780.776962372685</v>
      </c>
      <c r="B117" s="2" t="s">
        <v>23</v>
      </c>
      <c r="C117" s="2" t="s">
        <v>814</v>
      </c>
      <c r="D117" s="2" t="s">
        <v>815</v>
      </c>
      <c r="E117" s="2" t="s">
        <v>26</v>
      </c>
      <c r="H117" s="2" t="s">
        <v>122</v>
      </c>
      <c r="I117" s="2" t="s">
        <v>145</v>
      </c>
      <c r="J117" s="2" t="s">
        <v>816</v>
      </c>
      <c r="L117" s="2" t="s">
        <v>43</v>
      </c>
      <c r="O117" s="2" t="s">
        <v>817</v>
      </c>
      <c r="P117" s="2" t="s">
        <v>818</v>
      </c>
      <c r="Q117" s="2" t="s">
        <v>819</v>
      </c>
      <c r="R117" s="2" t="s">
        <v>34</v>
      </c>
      <c r="S117" s="4" t="s">
        <v>820</v>
      </c>
    </row>
    <row r="118">
      <c r="A118" s="3">
        <v>44780.779538738425</v>
      </c>
      <c r="B118" s="2" t="s">
        <v>23</v>
      </c>
      <c r="C118" s="2" t="s">
        <v>821</v>
      </c>
      <c r="D118" s="2" t="s">
        <v>815</v>
      </c>
      <c r="E118" s="2" t="s">
        <v>109</v>
      </c>
      <c r="F118" s="2" t="s">
        <v>51</v>
      </c>
      <c r="I118" s="2" t="s">
        <v>145</v>
      </c>
      <c r="J118" s="2" t="s">
        <v>822</v>
      </c>
      <c r="L118" s="2" t="s">
        <v>43</v>
      </c>
      <c r="O118" s="2" t="s">
        <v>823</v>
      </c>
      <c r="P118" s="2" t="s">
        <v>824</v>
      </c>
      <c r="R118" s="2" t="s">
        <v>34</v>
      </c>
      <c r="S118" s="4" t="s">
        <v>825</v>
      </c>
    </row>
    <row r="119">
      <c r="A119" s="3">
        <v>44780.84436454861</v>
      </c>
      <c r="B119" s="2" t="s">
        <v>23</v>
      </c>
      <c r="C119" s="2" t="s">
        <v>826</v>
      </c>
      <c r="D119" s="2" t="s">
        <v>815</v>
      </c>
      <c r="E119" s="2" t="s">
        <v>26</v>
      </c>
      <c r="H119" s="2" t="s">
        <v>122</v>
      </c>
      <c r="I119" s="2" t="s">
        <v>145</v>
      </c>
      <c r="J119" s="2" t="s">
        <v>827</v>
      </c>
      <c r="L119" s="2" t="s">
        <v>43</v>
      </c>
      <c r="N119" s="2" t="s">
        <v>45</v>
      </c>
      <c r="O119" s="2" t="s">
        <v>828</v>
      </c>
      <c r="P119" s="2" t="s">
        <v>829</v>
      </c>
      <c r="R119" s="2" t="s">
        <v>34</v>
      </c>
      <c r="S119" s="4" t="s">
        <v>830</v>
      </c>
    </row>
    <row r="120">
      <c r="A120" s="3">
        <v>44780.853422581014</v>
      </c>
      <c r="B120" s="2" t="s">
        <v>23</v>
      </c>
      <c r="C120" s="2" t="s">
        <v>831</v>
      </c>
      <c r="D120" s="2" t="s">
        <v>832</v>
      </c>
      <c r="E120" s="2" t="s">
        <v>26</v>
      </c>
      <c r="F120" s="2" t="s">
        <v>234</v>
      </c>
      <c r="G120" s="2" t="s">
        <v>833</v>
      </c>
      <c r="H120" s="2" t="s">
        <v>122</v>
      </c>
      <c r="I120" s="2" t="s">
        <v>145</v>
      </c>
      <c r="J120" s="2" t="s">
        <v>834</v>
      </c>
      <c r="L120" s="2" t="s">
        <v>77</v>
      </c>
      <c r="N120" s="2" t="s">
        <v>45</v>
      </c>
      <c r="O120" s="2" t="s">
        <v>835</v>
      </c>
      <c r="P120" s="2" t="s">
        <v>836</v>
      </c>
      <c r="R120" s="2" t="s">
        <v>34</v>
      </c>
      <c r="S120" s="4" t="s">
        <v>837</v>
      </c>
    </row>
    <row r="121">
      <c r="A121" s="3">
        <v>44887.8043487963</v>
      </c>
      <c r="B121" s="2" t="s">
        <v>23</v>
      </c>
      <c r="C121" s="2" t="s">
        <v>838</v>
      </c>
      <c r="D121" s="2" t="s">
        <v>839</v>
      </c>
      <c r="E121" s="2" t="s">
        <v>26</v>
      </c>
      <c r="I121" s="2" t="s">
        <v>840</v>
      </c>
      <c r="J121" s="2" t="s">
        <v>841</v>
      </c>
      <c r="K121" s="2" t="s">
        <v>274</v>
      </c>
      <c r="L121" s="2" t="s">
        <v>43</v>
      </c>
      <c r="M121" s="2" t="s">
        <v>559</v>
      </c>
      <c r="N121" s="2" t="s">
        <v>45</v>
      </c>
      <c r="O121" s="2" t="s">
        <v>842</v>
      </c>
      <c r="P121" s="2" t="s">
        <v>278</v>
      </c>
      <c r="Q121" s="2" t="s">
        <v>843</v>
      </c>
      <c r="R121" s="2" t="s">
        <v>34</v>
      </c>
      <c r="S121" s="4" t="s">
        <v>844</v>
      </c>
    </row>
    <row r="122">
      <c r="A122" s="3">
        <v>44887.807094675925</v>
      </c>
      <c r="B122" s="2" t="s">
        <v>23</v>
      </c>
      <c r="C122" s="2" t="s">
        <v>845</v>
      </c>
      <c r="D122" s="2" t="s">
        <v>839</v>
      </c>
      <c r="E122" s="2" t="s">
        <v>26</v>
      </c>
      <c r="I122" s="2" t="s">
        <v>846</v>
      </c>
      <c r="J122" s="2" t="s">
        <v>847</v>
      </c>
      <c r="K122" s="2" t="s">
        <v>274</v>
      </c>
      <c r="L122" s="2" t="s">
        <v>43</v>
      </c>
      <c r="M122" s="2" t="s">
        <v>848</v>
      </c>
      <c r="N122" s="2" t="s">
        <v>45</v>
      </c>
      <c r="O122" s="2" t="s">
        <v>849</v>
      </c>
      <c r="P122" s="2" t="s">
        <v>278</v>
      </c>
      <c r="R122" s="2" t="s">
        <v>34</v>
      </c>
      <c r="S122" s="4" t="s">
        <v>850</v>
      </c>
    </row>
    <row r="123">
      <c r="A123" s="3">
        <v>44780.86003225694</v>
      </c>
      <c r="B123" s="2" t="s">
        <v>23</v>
      </c>
      <c r="C123" s="2" t="s">
        <v>851</v>
      </c>
      <c r="D123" s="2" t="s">
        <v>852</v>
      </c>
      <c r="E123" s="2" t="s">
        <v>26</v>
      </c>
      <c r="F123" s="2" t="s">
        <v>193</v>
      </c>
      <c r="I123" s="2" t="s">
        <v>853</v>
      </c>
      <c r="J123" s="2" t="s">
        <v>854</v>
      </c>
      <c r="L123" s="2" t="s">
        <v>77</v>
      </c>
      <c r="O123" s="2" t="s">
        <v>855</v>
      </c>
      <c r="P123" s="2" t="s">
        <v>79</v>
      </c>
      <c r="Q123" s="2" t="s">
        <v>856</v>
      </c>
      <c r="R123" s="2" t="s">
        <v>34</v>
      </c>
      <c r="S123" s="4" t="s">
        <v>857</v>
      </c>
    </row>
    <row r="124">
      <c r="A124" s="3">
        <v>44815.045104108794</v>
      </c>
      <c r="B124" s="2" t="s">
        <v>23</v>
      </c>
      <c r="C124" s="2" t="s">
        <v>858</v>
      </c>
      <c r="D124" s="2" t="s">
        <v>852</v>
      </c>
      <c r="E124" s="2" t="s">
        <v>26</v>
      </c>
      <c r="F124" s="2" t="s">
        <v>171</v>
      </c>
      <c r="G124" s="2" t="s">
        <v>859</v>
      </c>
      <c r="I124" s="2" t="s">
        <v>860</v>
      </c>
      <c r="J124" s="2" t="s">
        <v>861</v>
      </c>
      <c r="K124" s="2" t="s">
        <v>67</v>
      </c>
      <c r="L124" s="2" t="s">
        <v>77</v>
      </c>
      <c r="M124" s="2" t="s">
        <v>862</v>
      </c>
      <c r="N124" s="2" t="s">
        <v>57</v>
      </c>
      <c r="O124" s="2" t="s">
        <v>863</v>
      </c>
      <c r="P124" s="2" t="s">
        <v>864</v>
      </c>
      <c r="Q124" s="2" t="s">
        <v>865</v>
      </c>
      <c r="R124" s="2" t="s">
        <v>34</v>
      </c>
      <c r="S124" s="4" t="s">
        <v>866</v>
      </c>
    </row>
    <row r="125">
      <c r="A125" s="3">
        <v>45553.0019537037</v>
      </c>
      <c r="B125" s="2" t="s">
        <v>23</v>
      </c>
      <c r="C125" s="2" t="s">
        <v>867</v>
      </c>
      <c r="D125" s="2" t="s">
        <v>868</v>
      </c>
      <c r="E125" s="2" t="s">
        <v>26</v>
      </c>
      <c r="G125" s="2" t="s">
        <v>869</v>
      </c>
      <c r="H125" s="2" t="s">
        <v>52</v>
      </c>
      <c r="I125" s="2" t="s">
        <v>870</v>
      </c>
      <c r="J125" s="2" t="s">
        <v>871</v>
      </c>
      <c r="K125" s="2" t="s">
        <v>872</v>
      </c>
      <c r="L125" s="2" t="s">
        <v>77</v>
      </c>
      <c r="M125" s="2" t="s">
        <v>873</v>
      </c>
      <c r="N125" s="2" t="s">
        <v>87</v>
      </c>
      <c r="P125" s="2" t="s">
        <v>874</v>
      </c>
      <c r="R125" s="2" t="s">
        <v>34</v>
      </c>
      <c r="S125" s="4" t="s">
        <v>875</v>
      </c>
    </row>
    <row r="126">
      <c r="A126" s="3">
        <v>44780.862846909724</v>
      </c>
      <c r="B126" s="2" t="s">
        <v>23</v>
      </c>
      <c r="C126" s="2" t="s">
        <v>876</v>
      </c>
      <c r="D126" s="2" t="s">
        <v>877</v>
      </c>
      <c r="E126" s="2" t="s">
        <v>26</v>
      </c>
      <c r="H126" s="2" t="s">
        <v>64</v>
      </c>
      <c r="I126" s="2" t="s">
        <v>878</v>
      </c>
      <c r="J126" s="2" t="s">
        <v>879</v>
      </c>
      <c r="L126" s="2" t="s">
        <v>55</v>
      </c>
      <c r="O126" s="2" t="s">
        <v>880</v>
      </c>
      <c r="P126" s="2" t="s">
        <v>184</v>
      </c>
      <c r="Q126" s="2" t="s">
        <v>881</v>
      </c>
      <c r="R126" s="2" t="s">
        <v>34</v>
      </c>
      <c r="S126" s="4" t="s">
        <v>882</v>
      </c>
    </row>
    <row r="127">
      <c r="A127" s="3">
        <v>44782.78742887732</v>
      </c>
      <c r="B127" s="2" t="s">
        <v>23</v>
      </c>
      <c r="C127" s="2" t="s">
        <v>883</v>
      </c>
      <c r="D127" s="2" t="s">
        <v>877</v>
      </c>
      <c r="E127" s="2" t="s">
        <v>689</v>
      </c>
      <c r="H127" s="2" t="s">
        <v>98</v>
      </c>
      <c r="I127" s="2" t="s">
        <v>884</v>
      </c>
      <c r="J127" s="2" t="s">
        <v>885</v>
      </c>
      <c r="K127" s="2" t="s">
        <v>67</v>
      </c>
      <c r="L127" s="2" t="s">
        <v>43</v>
      </c>
      <c r="M127" s="2" t="s">
        <v>886</v>
      </c>
      <c r="N127" s="2" t="s">
        <v>57</v>
      </c>
      <c r="O127" s="2" t="s">
        <v>887</v>
      </c>
      <c r="P127" s="2" t="s">
        <v>888</v>
      </c>
      <c r="R127" s="2" t="s">
        <v>34</v>
      </c>
      <c r="S127" s="4" t="s">
        <v>889</v>
      </c>
    </row>
    <row r="128">
      <c r="A128" s="3">
        <v>44782.79497314815</v>
      </c>
      <c r="B128" s="2" t="s">
        <v>23</v>
      </c>
      <c r="C128" s="2" t="s">
        <v>890</v>
      </c>
      <c r="D128" s="2" t="s">
        <v>877</v>
      </c>
      <c r="E128" s="2" t="s">
        <v>689</v>
      </c>
      <c r="H128" s="2" t="s">
        <v>98</v>
      </c>
      <c r="I128" s="2" t="s">
        <v>884</v>
      </c>
      <c r="J128" s="2" t="s">
        <v>891</v>
      </c>
      <c r="K128" s="2" t="s">
        <v>67</v>
      </c>
      <c r="L128" s="2" t="s">
        <v>43</v>
      </c>
      <c r="M128" s="2" t="s">
        <v>892</v>
      </c>
      <c r="N128" s="2" t="s">
        <v>57</v>
      </c>
      <c r="O128" s="2" t="s">
        <v>893</v>
      </c>
      <c r="P128" s="2" t="s">
        <v>632</v>
      </c>
      <c r="R128" s="2" t="s">
        <v>34</v>
      </c>
      <c r="S128" s="4" t="s">
        <v>894</v>
      </c>
    </row>
    <row r="129">
      <c r="A129" s="3">
        <v>44782.79764788195</v>
      </c>
      <c r="B129" s="2" t="s">
        <v>23</v>
      </c>
      <c r="C129" s="2" t="s">
        <v>895</v>
      </c>
      <c r="D129" s="2" t="s">
        <v>877</v>
      </c>
      <c r="E129" s="2" t="s">
        <v>689</v>
      </c>
      <c r="I129" s="2" t="s">
        <v>878</v>
      </c>
      <c r="J129" s="2" t="s">
        <v>896</v>
      </c>
      <c r="K129" s="2" t="s">
        <v>42</v>
      </c>
      <c r="L129" s="2" t="s">
        <v>55</v>
      </c>
      <c r="M129" s="2" t="s">
        <v>897</v>
      </c>
      <c r="N129" s="2" t="s">
        <v>45</v>
      </c>
      <c r="O129" s="2" t="s">
        <v>898</v>
      </c>
      <c r="P129" s="2" t="s">
        <v>899</v>
      </c>
      <c r="R129" s="2" t="s">
        <v>34</v>
      </c>
      <c r="S129" s="4" t="s">
        <v>900</v>
      </c>
    </row>
    <row r="130">
      <c r="A130" s="3">
        <v>44780.86471851852</v>
      </c>
      <c r="B130" s="2" t="s">
        <v>23</v>
      </c>
      <c r="C130" s="2" t="s">
        <v>901</v>
      </c>
      <c r="D130" s="2" t="s">
        <v>902</v>
      </c>
      <c r="E130" s="2" t="s">
        <v>26</v>
      </c>
      <c r="I130" s="2" t="s">
        <v>84</v>
      </c>
      <c r="J130" s="2" t="s">
        <v>903</v>
      </c>
      <c r="L130" s="2" t="s">
        <v>77</v>
      </c>
      <c r="N130" s="2" t="s">
        <v>45</v>
      </c>
      <c r="O130" s="2" t="s">
        <v>429</v>
      </c>
      <c r="P130" s="2" t="s">
        <v>254</v>
      </c>
      <c r="R130" s="2" t="s">
        <v>34</v>
      </c>
      <c r="S130" s="4" t="s">
        <v>904</v>
      </c>
    </row>
    <row r="131">
      <c r="A131" s="3">
        <v>44780.87531472222</v>
      </c>
      <c r="B131" s="2" t="s">
        <v>23</v>
      </c>
      <c r="C131" s="2" t="s">
        <v>905</v>
      </c>
      <c r="D131" s="2" t="s">
        <v>902</v>
      </c>
      <c r="E131" s="2" t="s">
        <v>26</v>
      </c>
      <c r="F131" s="2" t="s">
        <v>38</v>
      </c>
      <c r="I131" s="2" t="s">
        <v>84</v>
      </c>
      <c r="J131" s="2" t="s">
        <v>906</v>
      </c>
      <c r="L131" s="2" t="s">
        <v>43</v>
      </c>
      <c r="O131" s="2" t="s">
        <v>907</v>
      </c>
      <c r="P131" s="2" t="s">
        <v>908</v>
      </c>
      <c r="R131" s="2" t="s">
        <v>34</v>
      </c>
      <c r="S131" s="4" t="s">
        <v>909</v>
      </c>
    </row>
    <row r="132">
      <c r="A132" s="3">
        <v>44781.71670587963</v>
      </c>
      <c r="B132" s="2" t="s">
        <v>23</v>
      </c>
      <c r="C132" s="2" t="s">
        <v>910</v>
      </c>
      <c r="D132" s="2" t="s">
        <v>911</v>
      </c>
      <c r="E132" s="2" t="s">
        <v>26</v>
      </c>
      <c r="G132" s="2" t="s">
        <v>912</v>
      </c>
      <c r="H132" s="2" t="s">
        <v>27</v>
      </c>
      <c r="I132" s="2" t="s">
        <v>578</v>
      </c>
      <c r="J132" s="2" t="s">
        <v>913</v>
      </c>
      <c r="K132" s="2" t="s">
        <v>67</v>
      </c>
      <c r="L132" s="2" t="s">
        <v>77</v>
      </c>
      <c r="N132" s="2" t="s">
        <v>45</v>
      </c>
      <c r="O132" s="2" t="s">
        <v>914</v>
      </c>
      <c r="P132" s="2" t="s">
        <v>915</v>
      </c>
      <c r="Q132" s="2" t="s">
        <v>916</v>
      </c>
      <c r="R132" s="2" t="s">
        <v>34</v>
      </c>
      <c r="S132" s="7" t="s">
        <v>917</v>
      </c>
    </row>
    <row r="133">
      <c r="A133" s="3">
        <v>44784.26094047454</v>
      </c>
      <c r="B133" s="2" t="s">
        <v>23</v>
      </c>
      <c r="C133" s="2" t="s">
        <v>918</v>
      </c>
      <c r="D133" s="2" t="s">
        <v>919</v>
      </c>
      <c r="E133" s="2" t="s">
        <v>26</v>
      </c>
      <c r="H133" s="2" t="s">
        <v>122</v>
      </c>
      <c r="I133" s="2" t="s">
        <v>213</v>
      </c>
      <c r="J133" s="2" t="s">
        <v>920</v>
      </c>
      <c r="K133" s="2" t="s">
        <v>67</v>
      </c>
      <c r="L133" s="2" t="s">
        <v>77</v>
      </c>
      <c r="N133" s="2" t="s">
        <v>45</v>
      </c>
      <c r="O133" s="2" t="s">
        <v>921</v>
      </c>
      <c r="P133" s="2" t="s">
        <v>254</v>
      </c>
      <c r="Q133" s="2" t="s">
        <v>922</v>
      </c>
      <c r="R133" s="2" t="s">
        <v>34</v>
      </c>
      <c r="S133" s="4" t="s">
        <v>923</v>
      </c>
    </row>
    <row r="134">
      <c r="A134" s="3">
        <v>45035.220534733795</v>
      </c>
      <c r="B134" s="2" t="s">
        <v>23</v>
      </c>
      <c r="C134" s="2" t="s">
        <v>924</v>
      </c>
      <c r="D134" s="2" t="s">
        <v>925</v>
      </c>
      <c r="E134" s="2" t="s">
        <v>26</v>
      </c>
      <c r="H134" s="2" t="s">
        <v>98</v>
      </c>
      <c r="I134" s="2" t="s">
        <v>661</v>
      </c>
      <c r="J134" s="2" t="s">
        <v>926</v>
      </c>
      <c r="K134" s="2" t="s">
        <v>67</v>
      </c>
      <c r="L134" s="2" t="s">
        <v>43</v>
      </c>
      <c r="M134" s="2" t="s">
        <v>927</v>
      </c>
      <c r="N134" s="2" t="s">
        <v>45</v>
      </c>
      <c r="O134" s="2" t="s">
        <v>928</v>
      </c>
      <c r="P134" s="2" t="s">
        <v>929</v>
      </c>
      <c r="R134" s="2" t="s">
        <v>34</v>
      </c>
      <c r="S134" s="4" t="s">
        <v>930</v>
      </c>
    </row>
    <row r="135">
      <c r="A135" s="3">
        <v>44780.876830277775</v>
      </c>
      <c r="B135" s="2" t="s">
        <v>23</v>
      </c>
      <c r="C135" s="2" t="s">
        <v>931</v>
      </c>
      <c r="D135" s="2" t="s">
        <v>932</v>
      </c>
      <c r="E135" s="2" t="s">
        <v>26</v>
      </c>
      <c r="H135" s="2" t="s">
        <v>98</v>
      </c>
      <c r="I135" s="2" t="s">
        <v>84</v>
      </c>
      <c r="J135" s="2" t="s">
        <v>933</v>
      </c>
      <c r="L135" s="2" t="s">
        <v>77</v>
      </c>
      <c r="O135" s="2" t="s">
        <v>934</v>
      </c>
      <c r="R135" s="2" t="s">
        <v>34</v>
      </c>
      <c r="S135" s="4" t="s">
        <v>935</v>
      </c>
    </row>
    <row r="136">
      <c r="A136" s="3">
        <v>44780.87804847222</v>
      </c>
      <c r="B136" s="2" t="s">
        <v>23</v>
      </c>
      <c r="C136" s="2" t="s">
        <v>936</v>
      </c>
      <c r="D136" s="2" t="s">
        <v>932</v>
      </c>
      <c r="E136" s="2" t="s">
        <v>26</v>
      </c>
      <c r="I136" s="2" t="s">
        <v>145</v>
      </c>
      <c r="J136" s="2" t="s">
        <v>937</v>
      </c>
      <c r="L136" s="2" t="s">
        <v>77</v>
      </c>
      <c r="O136" s="2" t="s">
        <v>938</v>
      </c>
      <c r="P136" s="2" t="s">
        <v>88</v>
      </c>
      <c r="R136" s="2" t="s">
        <v>34</v>
      </c>
      <c r="S136" s="4" t="s">
        <v>939</v>
      </c>
    </row>
    <row r="137">
      <c r="A137" s="3">
        <v>44780.879625208334</v>
      </c>
      <c r="B137" s="2" t="s">
        <v>23</v>
      </c>
      <c r="C137" s="2" t="s">
        <v>940</v>
      </c>
      <c r="D137" s="2" t="s">
        <v>932</v>
      </c>
      <c r="E137" s="2" t="s">
        <v>26</v>
      </c>
      <c r="H137" s="2" t="s">
        <v>98</v>
      </c>
      <c r="I137" s="2" t="s">
        <v>84</v>
      </c>
      <c r="J137" s="2" t="s">
        <v>941</v>
      </c>
      <c r="L137" s="2" t="s">
        <v>77</v>
      </c>
      <c r="O137" s="2" t="s">
        <v>942</v>
      </c>
      <c r="R137" s="2" t="s">
        <v>34</v>
      </c>
      <c r="S137" s="4" t="s">
        <v>943</v>
      </c>
    </row>
    <row r="138">
      <c r="A138" s="3">
        <v>44780.88171553241</v>
      </c>
      <c r="B138" s="2" t="s">
        <v>23</v>
      </c>
      <c r="C138" s="2" t="s">
        <v>944</v>
      </c>
      <c r="D138" s="2" t="s">
        <v>945</v>
      </c>
      <c r="E138" s="2" t="s">
        <v>109</v>
      </c>
      <c r="F138" s="2" t="s">
        <v>51</v>
      </c>
      <c r="H138" s="2" t="s">
        <v>98</v>
      </c>
      <c r="I138" s="2" t="s">
        <v>946</v>
      </c>
      <c r="J138" s="2" t="s">
        <v>947</v>
      </c>
      <c r="L138" s="2" t="s">
        <v>43</v>
      </c>
      <c r="N138" s="2" t="s">
        <v>87</v>
      </c>
      <c r="P138" s="2" t="s">
        <v>948</v>
      </c>
      <c r="R138" s="2" t="s">
        <v>34</v>
      </c>
      <c r="S138" s="4" t="s">
        <v>949</v>
      </c>
    </row>
    <row r="139">
      <c r="A139" s="3">
        <v>44887.79677127315</v>
      </c>
      <c r="B139" s="2" t="s">
        <v>23</v>
      </c>
      <c r="C139" s="2" t="s">
        <v>950</v>
      </c>
      <c r="D139" s="2" t="s">
        <v>945</v>
      </c>
      <c r="E139" s="2" t="s">
        <v>109</v>
      </c>
      <c r="F139" s="2" t="s">
        <v>51</v>
      </c>
      <c r="I139" s="2" t="s">
        <v>145</v>
      </c>
      <c r="J139" s="2" t="s">
        <v>951</v>
      </c>
      <c r="K139" s="2" t="s">
        <v>952</v>
      </c>
      <c r="L139" s="2" t="s">
        <v>77</v>
      </c>
      <c r="M139" s="2" t="s">
        <v>529</v>
      </c>
      <c r="N139" s="2" t="s">
        <v>87</v>
      </c>
      <c r="P139" s="2" t="s">
        <v>301</v>
      </c>
      <c r="R139" s="2" t="s">
        <v>34</v>
      </c>
      <c r="S139" s="4" t="s">
        <v>953</v>
      </c>
    </row>
    <row r="140">
      <c r="A140" s="3">
        <v>44780.88408131944</v>
      </c>
      <c r="B140" s="2" t="s">
        <v>23</v>
      </c>
      <c r="C140" s="2" t="s">
        <v>954</v>
      </c>
      <c r="D140" s="2" t="s">
        <v>955</v>
      </c>
      <c r="E140" s="2" t="s">
        <v>26</v>
      </c>
      <c r="H140" s="2" t="s">
        <v>98</v>
      </c>
      <c r="I140" s="2" t="s">
        <v>956</v>
      </c>
      <c r="J140" s="2" t="s">
        <v>957</v>
      </c>
      <c r="L140" s="2" t="s">
        <v>43</v>
      </c>
      <c r="N140" s="2" t="s">
        <v>45</v>
      </c>
      <c r="O140" s="2" t="s">
        <v>958</v>
      </c>
      <c r="P140" s="2" t="s">
        <v>959</v>
      </c>
      <c r="R140" s="2" t="s">
        <v>34</v>
      </c>
      <c r="S140" s="4" t="s">
        <v>960</v>
      </c>
    </row>
    <row r="141">
      <c r="A141" s="3">
        <v>45449.805206122684</v>
      </c>
      <c r="B141" s="2" t="s">
        <v>23</v>
      </c>
      <c r="C141" s="2" t="s">
        <v>961</v>
      </c>
      <c r="D141" s="2" t="s">
        <v>962</v>
      </c>
      <c r="E141" s="2" t="s">
        <v>26</v>
      </c>
      <c r="G141" s="2" t="s">
        <v>963</v>
      </c>
      <c r="I141" s="2" t="s">
        <v>964</v>
      </c>
      <c r="J141" s="2" t="s">
        <v>965</v>
      </c>
      <c r="K141" s="2" t="s">
        <v>67</v>
      </c>
      <c r="L141" s="2" t="s">
        <v>154</v>
      </c>
      <c r="O141" s="2" t="s">
        <v>966</v>
      </c>
      <c r="P141" s="2" t="s">
        <v>195</v>
      </c>
      <c r="R141" s="2" t="s">
        <v>34</v>
      </c>
      <c r="S141" s="4" t="s">
        <v>967</v>
      </c>
    </row>
    <row r="142">
      <c r="A142" s="3">
        <v>45130.80337995371</v>
      </c>
      <c r="B142" s="2" t="s">
        <v>23</v>
      </c>
      <c r="C142" s="2" t="s">
        <v>968</v>
      </c>
      <c r="D142" s="2" t="s">
        <v>969</v>
      </c>
      <c r="E142" s="2" t="s">
        <v>26</v>
      </c>
      <c r="H142" s="2" t="s">
        <v>64</v>
      </c>
      <c r="I142" s="2" t="s">
        <v>970</v>
      </c>
      <c r="J142" s="2" t="s">
        <v>971</v>
      </c>
      <c r="K142" s="2" t="s">
        <v>67</v>
      </c>
      <c r="L142" s="2" t="s">
        <v>77</v>
      </c>
      <c r="N142" s="2" t="s">
        <v>972</v>
      </c>
      <c r="O142" s="2" t="s">
        <v>973</v>
      </c>
      <c r="P142" s="2" t="s">
        <v>184</v>
      </c>
      <c r="R142" s="2" t="s">
        <v>34</v>
      </c>
      <c r="S142" s="4" t="s">
        <v>974</v>
      </c>
    </row>
    <row r="143">
      <c r="A143" s="3">
        <v>44976.18419996528</v>
      </c>
      <c r="B143" s="2" t="s">
        <v>23</v>
      </c>
      <c r="C143" s="2" t="s">
        <v>975</v>
      </c>
      <c r="D143" s="2" t="s">
        <v>976</v>
      </c>
      <c r="E143" s="2" t="s">
        <v>26</v>
      </c>
      <c r="F143" s="2" t="s">
        <v>38</v>
      </c>
      <c r="H143" s="2" t="s">
        <v>98</v>
      </c>
      <c r="I143" s="2" t="s">
        <v>84</v>
      </c>
      <c r="J143" s="2" t="s">
        <v>920</v>
      </c>
      <c r="N143" s="2" t="s">
        <v>45</v>
      </c>
      <c r="O143" s="2" t="s">
        <v>977</v>
      </c>
      <c r="P143" s="2" t="s">
        <v>978</v>
      </c>
      <c r="R143" s="2" t="s">
        <v>34</v>
      </c>
      <c r="S143" s="4" t="s">
        <v>979</v>
      </c>
    </row>
    <row r="144">
      <c r="A144" s="3">
        <v>44896.33173980324</v>
      </c>
      <c r="B144" s="2" t="s">
        <v>23</v>
      </c>
      <c r="C144" s="2" t="s">
        <v>980</v>
      </c>
      <c r="D144" s="2" t="s">
        <v>981</v>
      </c>
      <c r="E144" s="2" t="s">
        <v>26</v>
      </c>
      <c r="F144" s="2" t="s">
        <v>982</v>
      </c>
      <c r="H144" s="2" t="s">
        <v>98</v>
      </c>
      <c r="I144" s="2" t="s">
        <v>84</v>
      </c>
      <c r="J144" s="2" t="s">
        <v>983</v>
      </c>
      <c r="K144" s="2" t="s">
        <v>67</v>
      </c>
      <c r="L144" s="2" t="s">
        <v>77</v>
      </c>
      <c r="M144" s="2" t="s">
        <v>86</v>
      </c>
      <c r="N144" s="2" t="s">
        <v>45</v>
      </c>
      <c r="P144" s="2" t="s">
        <v>984</v>
      </c>
      <c r="R144" s="2" t="s">
        <v>34</v>
      </c>
      <c r="S144" s="4" t="s">
        <v>985</v>
      </c>
    </row>
    <row r="145">
      <c r="A145" s="3">
        <v>44780.885679756946</v>
      </c>
      <c r="B145" s="2" t="s">
        <v>23</v>
      </c>
      <c r="C145" s="2" t="s">
        <v>986</v>
      </c>
      <c r="D145" s="2" t="s">
        <v>987</v>
      </c>
      <c r="E145" s="2" t="s">
        <v>26</v>
      </c>
      <c r="F145" s="2" t="s">
        <v>38</v>
      </c>
      <c r="H145" s="2" t="s">
        <v>122</v>
      </c>
      <c r="I145" s="2" t="s">
        <v>117</v>
      </c>
      <c r="J145" s="2" t="s">
        <v>988</v>
      </c>
      <c r="L145" s="2" t="s">
        <v>77</v>
      </c>
      <c r="N145" s="2" t="s">
        <v>45</v>
      </c>
      <c r="O145" s="2" t="s">
        <v>989</v>
      </c>
      <c r="P145" s="2" t="s">
        <v>552</v>
      </c>
      <c r="R145" s="2" t="s">
        <v>34</v>
      </c>
      <c r="S145" s="4" t="s">
        <v>990</v>
      </c>
    </row>
    <row r="146">
      <c r="A146" s="3">
        <v>44780.887816585644</v>
      </c>
      <c r="B146" s="2" t="s">
        <v>23</v>
      </c>
      <c r="C146" s="2" t="s">
        <v>991</v>
      </c>
      <c r="D146" s="2" t="s">
        <v>987</v>
      </c>
      <c r="E146" s="2" t="s">
        <v>26</v>
      </c>
      <c r="F146" s="2" t="s">
        <v>38</v>
      </c>
      <c r="H146" s="2" t="s">
        <v>98</v>
      </c>
      <c r="I146" s="2" t="s">
        <v>992</v>
      </c>
      <c r="J146" s="2" t="s">
        <v>993</v>
      </c>
      <c r="L146" s="2" t="s">
        <v>77</v>
      </c>
      <c r="O146" s="2" t="s">
        <v>994</v>
      </c>
      <c r="P146" s="2" t="s">
        <v>995</v>
      </c>
      <c r="R146" s="2" t="s">
        <v>34</v>
      </c>
      <c r="S146" s="4" t="s">
        <v>996</v>
      </c>
    </row>
    <row r="147">
      <c r="A147" s="3">
        <v>44780.891352094906</v>
      </c>
      <c r="B147" s="2" t="s">
        <v>23</v>
      </c>
      <c r="C147" s="2" t="s">
        <v>997</v>
      </c>
      <c r="D147" s="2" t="s">
        <v>998</v>
      </c>
      <c r="E147" s="2" t="s">
        <v>26</v>
      </c>
      <c r="H147" s="2" t="s">
        <v>98</v>
      </c>
      <c r="I147" s="2" t="s">
        <v>102</v>
      </c>
      <c r="J147" s="2" t="s">
        <v>999</v>
      </c>
      <c r="L147" s="2" t="s">
        <v>77</v>
      </c>
      <c r="N147" s="2" t="s">
        <v>87</v>
      </c>
      <c r="P147" s="2" t="s">
        <v>195</v>
      </c>
      <c r="R147" s="2" t="s">
        <v>34</v>
      </c>
      <c r="S147" s="4" t="s">
        <v>1000</v>
      </c>
    </row>
    <row r="148">
      <c r="A148" s="3">
        <v>44780.89685315972</v>
      </c>
      <c r="B148" s="2" t="s">
        <v>23</v>
      </c>
      <c r="C148" s="2" t="s">
        <v>1001</v>
      </c>
      <c r="D148" s="2" t="s">
        <v>1002</v>
      </c>
      <c r="E148" s="2" t="s">
        <v>26</v>
      </c>
      <c r="H148" s="2" t="s">
        <v>52</v>
      </c>
      <c r="I148" s="2" t="s">
        <v>145</v>
      </c>
      <c r="J148" s="2" t="s">
        <v>1003</v>
      </c>
      <c r="L148" s="2" t="s">
        <v>77</v>
      </c>
      <c r="N148" s="2" t="s">
        <v>87</v>
      </c>
      <c r="P148" s="2" t="s">
        <v>616</v>
      </c>
      <c r="R148" s="2" t="s">
        <v>34</v>
      </c>
      <c r="S148" s="4" t="s">
        <v>1004</v>
      </c>
    </row>
    <row r="149">
      <c r="A149" s="3">
        <v>44780.90010396991</v>
      </c>
      <c r="B149" s="2" t="s">
        <v>23</v>
      </c>
      <c r="C149" s="2" t="s">
        <v>1005</v>
      </c>
      <c r="D149" s="2" t="s">
        <v>1006</v>
      </c>
      <c r="E149" s="2" t="s">
        <v>26</v>
      </c>
      <c r="F149" s="2" t="s">
        <v>38</v>
      </c>
      <c r="G149" s="2" t="s">
        <v>1007</v>
      </c>
      <c r="H149" s="2" t="s">
        <v>98</v>
      </c>
      <c r="I149" s="2" t="s">
        <v>1008</v>
      </c>
      <c r="J149" s="2" t="s">
        <v>1009</v>
      </c>
      <c r="L149" s="2" t="s">
        <v>43</v>
      </c>
      <c r="O149" s="2" t="s">
        <v>1010</v>
      </c>
      <c r="P149" s="2" t="s">
        <v>1011</v>
      </c>
      <c r="Q149" s="2" t="s">
        <v>1012</v>
      </c>
      <c r="R149" s="2" t="s">
        <v>34</v>
      </c>
      <c r="S149" s="4" t="s">
        <v>1013</v>
      </c>
    </row>
    <row r="150">
      <c r="A150" s="3">
        <v>45679.95035116898</v>
      </c>
      <c r="B150" s="2" t="s">
        <v>23</v>
      </c>
      <c r="C150" s="2" t="s">
        <v>1014</v>
      </c>
      <c r="D150" s="2" t="s">
        <v>1015</v>
      </c>
      <c r="E150" s="2" t="s">
        <v>1016</v>
      </c>
      <c r="F150" s="2" t="s">
        <v>51</v>
      </c>
      <c r="G150" s="2" t="s">
        <v>1017</v>
      </c>
      <c r="H150" s="2" t="s">
        <v>1018</v>
      </c>
      <c r="I150" s="2" t="s">
        <v>1019</v>
      </c>
      <c r="J150" s="2" t="s">
        <v>1020</v>
      </c>
      <c r="L150" s="2" t="s">
        <v>43</v>
      </c>
      <c r="M150" s="2" t="s">
        <v>1021</v>
      </c>
      <c r="N150" s="2" t="s">
        <v>57</v>
      </c>
      <c r="O150" s="2" t="s">
        <v>1022</v>
      </c>
      <c r="P150" s="2" t="s">
        <v>1023</v>
      </c>
      <c r="Q150" s="2" t="s">
        <v>1024</v>
      </c>
      <c r="R150" s="2" t="s">
        <v>185</v>
      </c>
      <c r="S150" s="4" t="s">
        <v>1025</v>
      </c>
    </row>
    <row r="151">
      <c r="A151" s="3">
        <v>45200.68191626157</v>
      </c>
      <c r="B151" s="2" t="s">
        <v>23</v>
      </c>
      <c r="C151" s="2" t="s">
        <v>1026</v>
      </c>
      <c r="D151" s="2" t="s">
        <v>1027</v>
      </c>
      <c r="E151" s="2" t="s">
        <v>26</v>
      </c>
      <c r="F151" s="2" t="s">
        <v>51</v>
      </c>
      <c r="H151" s="2" t="s">
        <v>74</v>
      </c>
      <c r="I151" s="2" t="s">
        <v>1028</v>
      </c>
      <c r="J151" s="2" t="s">
        <v>1029</v>
      </c>
      <c r="K151" s="2" t="s">
        <v>67</v>
      </c>
      <c r="L151" s="2" t="s">
        <v>55</v>
      </c>
      <c r="M151" s="2" t="s">
        <v>1030</v>
      </c>
      <c r="N151" s="2" t="s">
        <v>57</v>
      </c>
      <c r="O151" s="2" t="s">
        <v>1031</v>
      </c>
      <c r="P151" s="2" t="s">
        <v>79</v>
      </c>
      <c r="Q151" s="2" t="s">
        <v>1032</v>
      </c>
      <c r="R151" s="2" t="s">
        <v>34</v>
      </c>
      <c r="S151" s="7" t="s">
        <v>1033</v>
      </c>
    </row>
    <row r="152">
      <c r="A152" s="3">
        <v>44780.902954212965</v>
      </c>
      <c r="B152" s="2" t="s">
        <v>23</v>
      </c>
      <c r="C152" s="2" t="s">
        <v>1034</v>
      </c>
      <c r="D152" s="2" t="s">
        <v>1035</v>
      </c>
      <c r="E152" s="2" t="s">
        <v>26</v>
      </c>
      <c r="H152" s="2" t="s">
        <v>39</v>
      </c>
      <c r="I152" s="2" t="s">
        <v>213</v>
      </c>
      <c r="J152" s="2" t="s">
        <v>1036</v>
      </c>
      <c r="L152" s="2" t="s">
        <v>77</v>
      </c>
      <c r="N152" s="2" t="s">
        <v>87</v>
      </c>
      <c r="P152" s="2" t="s">
        <v>1037</v>
      </c>
      <c r="Q152" s="2" t="s">
        <v>1038</v>
      </c>
      <c r="R152" s="2" t="s">
        <v>34</v>
      </c>
      <c r="S152" s="4" t="s">
        <v>1039</v>
      </c>
    </row>
    <row r="153">
      <c r="A153" s="3">
        <v>45187.08914677083</v>
      </c>
      <c r="B153" s="2" t="s">
        <v>23</v>
      </c>
      <c r="C153" s="2" t="s">
        <v>1040</v>
      </c>
      <c r="D153" s="2" t="s">
        <v>1041</v>
      </c>
      <c r="E153" s="2" t="s">
        <v>26</v>
      </c>
      <c r="G153" s="2" t="s">
        <v>1042</v>
      </c>
      <c r="H153" s="2" t="s">
        <v>122</v>
      </c>
      <c r="I153" s="2" t="s">
        <v>93</v>
      </c>
      <c r="J153" s="2" t="s">
        <v>1043</v>
      </c>
      <c r="K153" s="2" t="s">
        <v>1044</v>
      </c>
      <c r="L153" s="2" t="s">
        <v>43</v>
      </c>
      <c r="M153" s="2" t="s">
        <v>1045</v>
      </c>
      <c r="N153" s="2" t="s">
        <v>45</v>
      </c>
      <c r="O153" s="2" t="s">
        <v>1046</v>
      </c>
      <c r="P153" s="2" t="s">
        <v>1047</v>
      </c>
      <c r="R153" s="2" t="s">
        <v>34</v>
      </c>
      <c r="S153" s="4" t="s">
        <v>1048</v>
      </c>
    </row>
    <row r="154">
      <c r="A154" s="3">
        <v>45187.09163879629</v>
      </c>
      <c r="B154" s="2" t="s">
        <v>23</v>
      </c>
      <c r="C154" s="2" t="s">
        <v>1049</v>
      </c>
      <c r="D154" s="2" t="s">
        <v>1041</v>
      </c>
      <c r="E154" s="2" t="s">
        <v>26</v>
      </c>
      <c r="F154" s="2" t="s">
        <v>370</v>
      </c>
      <c r="G154" s="2" t="s">
        <v>1050</v>
      </c>
      <c r="H154" s="2" t="s">
        <v>122</v>
      </c>
      <c r="I154" s="2" t="s">
        <v>93</v>
      </c>
      <c r="J154" s="2" t="s">
        <v>1051</v>
      </c>
      <c r="K154" s="2" t="s">
        <v>1044</v>
      </c>
      <c r="L154" s="2" t="s">
        <v>43</v>
      </c>
      <c r="M154" s="2" t="s">
        <v>1045</v>
      </c>
      <c r="N154" s="2" t="s">
        <v>45</v>
      </c>
      <c r="O154" s="2" t="s">
        <v>1052</v>
      </c>
      <c r="P154" s="2" t="s">
        <v>1047</v>
      </c>
      <c r="R154" s="2" t="s">
        <v>34</v>
      </c>
      <c r="S154" s="4" t="s">
        <v>1053</v>
      </c>
    </row>
    <row r="155">
      <c r="A155" s="3">
        <v>45187.0947502662</v>
      </c>
      <c r="B155" s="2" t="s">
        <v>23</v>
      </c>
      <c r="C155" s="2" t="s">
        <v>1054</v>
      </c>
      <c r="D155" s="2" t="s">
        <v>1041</v>
      </c>
      <c r="E155" s="2" t="s">
        <v>26</v>
      </c>
      <c r="F155" s="2" t="s">
        <v>38</v>
      </c>
      <c r="G155" s="2" t="s">
        <v>1055</v>
      </c>
      <c r="H155" s="2" t="s">
        <v>122</v>
      </c>
      <c r="I155" s="2" t="s">
        <v>93</v>
      </c>
      <c r="J155" s="2" t="s">
        <v>1056</v>
      </c>
      <c r="K155" s="2" t="s">
        <v>1044</v>
      </c>
      <c r="L155" s="2" t="s">
        <v>43</v>
      </c>
      <c r="M155" s="2" t="s">
        <v>1045</v>
      </c>
      <c r="N155" s="2" t="s">
        <v>45</v>
      </c>
      <c r="O155" s="2" t="s">
        <v>1057</v>
      </c>
      <c r="P155" s="2" t="s">
        <v>1047</v>
      </c>
      <c r="R155" s="2" t="s">
        <v>34</v>
      </c>
      <c r="S155" s="4" t="s">
        <v>1058</v>
      </c>
    </row>
    <row r="156">
      <c r="A156" s="3">
        <v>45187.09689371528</v>
      </c>
      <c r="B156" s="2" t="s">
        <v>23</v>
      </c>
      <c r="C156" s="2" t="s">
        <v>1059</v>
      </c>
      <c r="D156" s="2" t="s">
        <v>1041</v>
      </c>
      <c r="E156" s="2" t="s">
        <v>26</v>
      </c>
      <c r="F156" s="2" t="s">
        <v>38</v>
      </c>
      <c r="G156" s="2" t="s">
        <v>1060</v>
      </c>
      <c r="H156" s="2" t="s">
        <v>122</v>
      </c>
      <c r="I156" s="2" t="s">
        <v>93</v>
      </c>
      <c r="J156" s="2" t="s">
        <v>1061</v>
      </c>
      <c r="K156" s="2" t="s">
        <v>1044</v>
      </c>
      <c r="L156" s="2" t="s">
        <v>43</v>
      </c>
      <c r="M156" s="2" t="s">
        <v>1045</v>
      </c>
      <c r="N156" s="2" t="s">
        <v>45</v>
      </c>
      <c r="O156" s="2" t="s">
        <v>1062</v>
      </c>
      <c r="P156" s="2" t="s">
        <v>1063</v>
      </c>
      <c r="R156" s="2" t="s">
        <v>34</v>
      </c>
      <c r="S156" s="4" t="s">
        <v>1064</v>
      </c>
    </row>
    <row r="157">
      <c r="A157" s="3">
        <v>45432.176194733795</v>
      </c>
      <c r="B157" s="2" t="s">
        <v>23</v>
      </c>
      <c r="C157" s="2" t="s">
        <v>1065</v>
      </c>
      <c r="D157" s="2" t="s">
        <v>1041</v>
      </c>
      <c r="E157" s="2" t="s">
        <v>26</v>
      </c>
      <c r="F157" s="2" t="s">
        <v>370</v>
      </c>
      <c r="G157" s="2" t="s">
        <v>1066</v>
      </c>
      <c r="H157" s="2" t="s">
        <v>98</v>
      </c>
      <c r="I157" s="2" t="s">
        <v>1067</v>
      </c>
      <c r="J157" s="2" t="s">
        <v>1068</v>
      </c>
      <c r="K157" s="2" t="s">
        <v>1069</v>
      </c>
      <c r="L157" s="2" t="s">
        <v>43</v>
      </c>
      <c r="M157" s="2" t="s">
        <v>1070</v>
      </c>
      <c r="N157" s="2" t="s">
        <v>45</v>
      </c>
      <c r="O157" s="2" t="s">
        <v>1071</v>
      </c>
      <c r="P157" s="2" t="s">
        <v>1072</v>
      </c>
      <c r="Q157" s="2" t="s">
        <v>1073</v>
      </c>
      <c r="R157" s="2" t="s">
        <v>34</v>
      </c>
      <c r="S157" s="4" t="s">
        <v>1074</v>
      </c>
    </row>
    <row r="158">
      <c r="A158" s="3">
        <v>44780.905370520835</v>
      </c>
      <c r="B158" s="2" t="s">
        <v>23</v>
      </c>
      <c r="C158" s="2" t="s">
        <v>1075</v>
      </c>
      <c r="D158" s="2" t="s">
        <v>1076</v>
      </c>
      <c r="E158" s="2" t="s">
        <v>26</v>
      </c>
      <c r="H158" s="2" t="s">
        <v>64</v>
      </c>
      <c r="I158" s="2" t="s">
        <v>84</v>
      </c>
      <c r="J158" s="2" t="s">
        <v>1077</v>
      </c>
      <c r="L158" s="2" t="s">
        <v>77</v>
      </c>
      <c r="N158" s="2" t="s">
        <v>87</v>
      </c>
      <c r="P158" s="2" t="s">
        <v>959</v>
      </c>
      <c r="R158" s="2" t="s">
        <v>34</v>
      </c>
      <c r="S158" s="4" t="s">
        <v>1078</v>
      </c>
    </row>
    <row r="159">
      <c r="A159" s="3">
        <v>44780.961804189814</v>
      </c>
      <c r="B159" s="2" t="s">
        <v>23</v>
      </c>
      <c r="C159" s="2" t="s">
        <v>1079</v>
      </c>
      <c r="D159" s="2" t="s">
        <v>1080</v>
      </c>
      <c r="E159" s="2" t="s">
        <v>26</v>
      </c>
      <c r="H159" s="2" t="s">
        <v>122</v>
      </c>
      <c r="I159" s="2" t="s">
        <v>145</v>
      </c>
      <c r="J159" s="2" t="s">
        <v>1081</v>
      </c>
      <c r="K159" s="2" t="s">
        <v>67</v>
      </c>
      <c r="L159" s="2" t="s">
        <v>43</v>
      </c>
      <c r="O159" s="2" t="s">
        <v>1082</v>
      </c>
      <c r="P159" s="2" t="s">
        <v>278</v>
      </c>
      <c r="R159" s="2" t="s">
        <v>34</v>
      </c>
      <c r="S159" s="4" t="s">
        <v>1083</v>
      </c>
    </row>
    <row r="160">
      <c r="A160" s="3">
        <v>44780.96390608796</v>
      </c>
      <c r="B160" s="2" t="s">
        <v>23</v>
      </c>
      <c r="C160" s="2" t="s">
        <v>1084</v>
      </c>
      <c r="D160" s="2" t="s">
        <v>1080</v>
      </c>
      <c r="E160" s="2" t="s">
        <v>26</v>
      </c>
      <c r="H160" s="2" t="s">
        <v>52</v>
      </c>
      <c r="I160" s="2" t="s">
        <v>1085</v>
      </c>
      <c r="J160" s="2" t="s">
        <v>1086</v>
      </c>
      <c r="K160" s="2" t="s">
        <v>67</v>
      </c>
      <c r="L160" s="2" t="s">
        <v>43</v>
      </c>
      <c r="O160" s="2" t="s">
        <v>1087</v>
      </c>
      <c r="P160" s="2" t="s">
        <v>1088</v>
      </c>
      <c r="R160" s="2" t="s">
        <v>34</v>
      </c>
      <c r="S160" s="4" t="s">
        <v>1089</v>
      </c>
    </row>
    <row r="161">
      <c r="A161" s="3">
        <v>44780.9074094213</v>
      </c>
      <c r="B161" s="2" t="s">
        <v>23</v>
      </c>
      <c r="C161" s="2" t="s">
        <v>1090</v>
      </c>
      <c r="D161" s="2" t="s">
        <v>1091</v>
      </c>
      <c r="E161" s="2" t="s">
        <v>643</v>
      </c>
      <c r="F161" s="2" t="s">
        <v>51</v>
      </c>
      <c r="H161" s="2" t="s">
        <v>74</v>
      </c>
      <c r="I161" s="2" t="s">
        <v>75</v>
      </c>
      <c r="J161" s="2" t="s">
        <v>1092</v>
      </c>
      <c r="L161" s="2" t="s">
        <v>77</v>
      </c>
      <c r="N161" s="2" t="s">
        <v>972</v>
      </c>
      <c r="O161" s="2" t="s">
        <v>1093</v>
      </c>
      <c r="P161" s="2" t="s">
        <v>59</v>
      </c>
      <c r="Q161" s="2" t="s">
        <v>1094</v>
      </c>
      <c r="R161" s="2" t="s">
        <v>34</v>
      </c>
      <c r="S161" s="4" t="s">
        <v>1095</v>
      </c>
    </row>
    <row r="162">
      <c r="A162" s="3">
        <v>44780.91122296297</v>
      </c>
      <c r="B162" s="2" t="s">
        <v>23</v>
      </c>
      <c r="C162" s="2" t="s">
        <v>1096</v>
      </c>
      <c r="D162" s="2" t="s">
        <v>1091</v>
      </c>
      <c r="E162" s="2" t="s">
        <v>26</v>
      </c>
      <c r="F162" s="2" t="s">
        <v>51</v>
      </c>
      <c r="G162" s="2" t="s">
        <v>1097</v>
      </c>
      <c r="H162" s="2" t="s">
        <v>74</v>
      </c>
      <c r="I162" s="2" t="s">
        <v>75</v>
      </c>
      <c r="J162" s="2" t="s">
        <v>1098</v>
      </c>
      <c r="L162" s="2" t="s">
        <v>43</v>
      </c>
      <c r="M162" s="2" t="s">
        <v>1099</v>
      </c>
      <c r="N162" s="2" t="s">
        <v>45</v>
      </c>
      <c r="O162" s="2" t="s">
        <v>1100</v>
      </c>
      <c r="P162" s="2" t="s">
        <v>1101</v>
      </c>
      <c r="Q162" s="2" t="s">
        <v>1102</v>
      </c>
      <c r="R162" s="2" t="s">
        <v>34</v>
      </c>
      <c r="S162" s="4" t="s">
        <v>1103</v>
      </c>
    </row>
    <row r="163">
      <c r="A163" s="3">
        <v>44780.91375619213</v>
      </c>
      <c r="B163" s="2" t="s">
        <v>23</v>
      </c>
      <c r="C163" s="2" t="s">
        <v>1104</v>
      </c>
      <c r="D163" s="2" t="s">
        <v>1091</v>
      </c>
      <c r="E163" s="2" t="s">
        <v>26</v>
      </c>
      <c r="F163" s="2" t="s">
        <v>1105</v>
      </c>
      <c r="G163" s="2" t="s">
        <v>1106</v>
      </c>
      <c r="H163" s="2" t="s">
        <v>98</v>
      </c>
      <c r="I163" s="2" t="s">
        <v>75</v>
      </c>
      <c r="J163" s="2" t="s">
        <v>1107</v>
      </c>
      <c r="M163" s="2" t="s">
        <v>1108</v>
      </c>
      <c r="N163" s="2" t="s">
        <v>45</v>
      </c>
      <c r="O163" s="2" t="s">
        <v>1109</v>
      </c>
      <c r="P163" s="2" t="s">
        <v>1110</v>
      </c>
      <c r="Q163" s="2" t="s">
        <v>1111</v>
      </c>
      <c r="R163" s="2" t="s">
        <v>34</v>
      </c>
      <c r="S163" s="4" t="s">
        <v>1112</v>
      </c>
    </row>
    <row r="164">
      <c r="A164" s="3">
        <v>44780.916150868055</v>
      </c>
      <c r="B164" s="2" t="s">
        <v>23</v>
      </c>
      <c r="C164" s="2" t="s">
        <v>1113</v>
      </c>
      <c r="D164" s="2" t="s">
        <v>1091</v>
      </c>
      <c r="E164" s="2" t="s">
        <v>643</v>
      </c>
      <c r="F164" s="2" t="s">
        <v>51</v>
      </c>
      <c r="H164" s="2" t="s">
        <v>64</v>
      </c>
      <c r="I164" s="2" t="s">
        <v>75</v>
      </c>
      <c r="J164" s="2" t="s">
        <v>1114</v>
      </c>
      <c r="L164" s="2" t="s">
        <v>43</v>
      </c>
      <c r="N164" s="2" t="s">
        <v>87</v>
      </c>
      <c r="P164" s="2" t="s">
        <v>79</v>
      </c>
      <c r="R164" s="2" t="s">
        <v>34</v>
      </c>
      <c r="S164" s="4" t="s">
        <v>1115</v>
      </c>
    </row>
    <row r="165">
      <c r="A165" s="3">
        <v>44780.92018944444</v>
      </c>
      <c r="B165" s="2" t="s">
        <v>23</v>
      </c>
      <c r="C165" s="2" t="s">
        <v>1116</v>
      </c>
      <c r="D165" s="2" t="s">
        <v>1117</v>
      </c>
      <c r="E165" s="2" t="s">
        <v>26</v>
      </c>
      <c r="H165" s="2" t="s">
        <v>64</v>
      </c>
      <c r="I165" s="2" t="s">
        <v>1118</v>
      </c>
      <c r="J165" s="2" t="s">
        <v>1119</v>
      </c>
      <c r="L165" s="2" t="s">
        <v>77</v>
      </c>
      <c r="O165" s="2" t="s">
        <v>1120</v>
      </c>
      <c r="P165" s="2" t="s">
        <v>408</v>
      </c>
      <c r="Q165" s="2" t="s">
        <v>1121</v>
      </c>
      <c r="R165" s="2" t="s">
        <v>34</v>
      </c>
      <c r="S165" s="4" t="s">
        <v>1122</v>
      </c>
    </row>
    <row r="166">
      <c r="A166" s="3">
        <v>44780.922093981484</v>
      </c>
      <c r="B166" s="2" t="s">
        <v>23</v>
      </c>
      <c r="C166" s="2" t="s">
        <v>1123</v>
      </c>
      <c r="D166" s="2" t="s">
        <v>1117</v>
      </c>
      <c r="E166" s="2" t="s">
        <v>26</v>
      </c>
      <c r="H166" s="2" t="s">
        <v>64</v>
      </c>
      <c r="I166" s="2" t="s">
        <v>1118</v>
      </c>
      <c r="J166" s="2" t="s">
        <v>1124</v>
      </c>
      <c r="L166" s="2" t="s">
        <v>77</v>
      </c>
      <c r="O166" s="2" t="s">
        <v>1125</v>
      </c>
      <c r="Q166" s="2" t="s">
        <v>1126</v>
      </c>
      <c r="R166" s="2" t="s">
        <v>34</v>
      </c>
      <c r="S166" s="4" t="s">
        <v>1127</v>
      </c>
    </row>
    <row r="167">
      <c r="A167" s="3">
        <v>44780.92423684028</v>
      </c>
      <c r="B167" s="2" t="s">
        <v>23</v>
      </c>
      <c r="C167" s="2" t="s">
        <v>175</v>
      </c>
      <c r="D167" s="2" t="s">
        <v>1117</v>
      </c>
      <c r="E167" s="2" t="s">
        <v>26</v>
      </c>
      <c r="H167" s="2" t="s">
        <v>64</v>
      </c>
      <c r="I167" s="2" t="s">
        <v>1118</v>
      </c>
      <c r="J167" s="2" t="s">
        <v>1128</v>
      </c>
      <c r="L167" s="2" t="s">
        <v>77</v>
      </c>
      <c r="O167" s="2" t="s">
        <v>1129</v>
      </c>
      <c r="Q167" s="2" t="s">
        <v>1130</v>
      </c>
      <c r="R167" s="2" t="s">
        <v>34</v>
      </c>
      <c r="S167" s="4" t="s">
        <v>1131</v>
      </c>
    </row>
    <row r="168">
      <c r="A168" s="3">
        <v>44780.925835243055</v>
      </c>
      <c r="B168" s="2" t="s">
        <v>23</v>
      </c>
      <c r="C168" s="2" t="s">
        <v>1132</v>
      </c>
      <c r="D168" s="2" t="s">
        <v>1133</v>
      </c>
      <c r="E168" s="2" t="s">
        <v>26</v>
      </c>
      <c r="F168" s="2" t="s">
        <v>264</v>
      </c>
      <c r="H168" s="2" t="s">
        <v>98</v>
      </c>
      <c r="I168" s="2" t="s">
        <v>117</v>
      </c>
      <c r="J168" s="2" t="s">
        <v>1134</v>
      </c>
      <c r="L168" s="2" t="s">
        <v>77</v>
      </c>
      <c r="O168" s="2" t="s">
        <v>1135</v>
      </c>
      <c r="P168" s="2" t="s">
        <v>195</v>
      </c>
      <c r="Q168" s="2" t="s">
        <v>1136</v>
      </c>
      <c r="R168" s="2" t="s">
        <v>34</v>
      </c>
      <c r="S168" s="4" t="s">
        <v>1137</v>
      </c>
    </row>
    <row r="169">
      <c r="A169" s="3">
        <v>44992.94711765046</v>
      </c>
      <c r="B169" s="2" t="s">
        <v>23</v>
      </c>
      <c r="C169" s="2" t="s">
        <v>1138</v>
      </c>
      <c r="D169" s="2" t="s">
        <v>1133</v>
      </c>
      <c r="E169" s="2" t="s">
        <v>26</v>
      </c>
      <c r="F169" s="2" t="s">
        <v>982</v>
      </c>
      <c r="G169" s="2" t="s">
        <v>1139</v>
      </c>
      <c r="H169" s="2" t="s">
        <v>122</v>
      </c>
      <c r="I169" s="2" t="s">
        <v>1140</v>
      </c>
      <c r="J169" s="2" t="s">
        <v>1141</v>
      </c>
      <c r="K169" s="2" t="s">
        <v>67</v>
      </c>
      <c r="L169" s="2" t="s">
        <v>77</v>
      </c>
      <c r="M169" s="2" t="s">
        <v>706</v>
      </c>
      <c r="N169" s="2" t="s">
        <v>45</v>
      </c>
      <c r="O169" s="2" t="s">
        <v>1142</v>
      </c>
      <c r="P169" s="2" t="s">
        <v>899</v>
      </c>
      <c r="Q169" s="2" t="s">
        <v>1143</v>
      </c>
      <c r="R169" s="2" t="s">
        <v>34</v>
      </c>
      <c r="S169" s="4" t="s">
        <v>1144</v>
      </c>
    </row>
    <row r="170">
      <c r="A170" s="3">
        <v>44992.95016295139</v>
      </c>
      <c r="B170" s="2" t="s">
        <v>23</v>
      </c>
      <c r="C170" s="2" t="s">
        <v>1145</v>
      </c>
      <c r="D170" s="2" t="s">
        <v>1133</v>
      </c>
      <c r="E170" s="2" t="s">
        <v>26</v>
      </c>
      <c r="F170" s="2" t="s">
        <v>1146</v>
      </c>
      <c r="G170" s="2" t="s">
        <v>1147</v>
      </c>
      <c r="H170" s="2" t="s">
        <v>122</v>
      </c>
      <c r="I170" s="2" t="s">
        <v>1148</v>
      </c>
      <c r="J170" s="2" t="s">
        <v>1149</v>
      </c>
      <c r="K170" s="2" t="s">
        <v>67</v>
      </c>
      <c r="L170" s="2" t="s">
        <v>77</v>
      </c>
      <c r="M170" s="2" t="s">
        <v>706</v>
      </c>
      <c r="N170" s="2" t="s">
        <v>45</v>
      </c>
      <c r="O170" s="2" t="s">
        <v>1150</v>
      </c>
      <c r="P170" s="2" t="s">
        <v>899</v>
      </c>
      <c r="Q170" s="2" t="s">
        <v>1151</v>
      </c>
      <c r="R170" s="2" t="s">
        <v>34</v>
      </c>
      <c r="S170" s="4" t="s">
        <v>1152</v>
      </c>
    </row>
    <row r="171">
      <c r="A171" s="3">
        <v>44780.92749980324</v>
      </c>
      <c r="B171" s="2" t="s">
        <v>23</v>
      </c>
      <c r="C171" s="2" t="s">
        <v>1153</v>
      </c>
      <c r="D171" s="2" t="s">
        <v>1154</v>
      </c>
      <c r="E171" s="2" t="s">
        <v>26</v>
      </c>
      <c r="I171" s="2" t="s">
        <v>145</v>
      </c>
      <c r="J171" s="2" t="s">
        <v>1155</v>
      </c>
      <c r="L171" s="2" t="s">
        <v>77</v>
      </c>
      <c r="O171" s="2" t="s">
        <v>1156</v>
      </c>
      <c r="R171" s="2" t="s">
        <v>34</v>
      </c>
      <c r="S171" s="4" t="s">
        <v>1157</v>
      </c>
    </row>
    <row r="172">
      <c r="A172" s="3">
        <v>44780.93011746528</v>
      </c>
      <c r="B172" s="2" t="s">
        <v>23</v>
      </c>
      <c r="C172" s="2" t="s">
        <v>1158</v>
      </c>
      <c r="D172" s="2" t="s">
        <v>1159</v>
      </c>
      <c r="E172" s="2" t="s">
        <v>26</v>
      </c>
      <c r="I172" s="2" t="s">
        <v>1160</v>
      </c>
      <c r="J172" s="2" t="s">
        <v>1161</v>
      </c>
      <c r="L172" s="2" t="s">
        <v>43</v>
      </c>
      <c r="O172" s="2" t="s">
        <v>1162</v>
      </c>
      <c r="P172" s="2" t="s">
        <v>95</v>
      </c>
      <c r="Q172" s="2" t="s">
        <v>1163</v>
      </c>
      <c r="R172" s="2" t="s">
        <v>34</v>
      </c>
      <c r="S172" s="4" t="s">
        <v>1164</v>
      </c>
    </row>
    <row r="173">
      <c r="A173" s="3">
        <v>45684.221320324075</v>
      </c>
      <c r="B173" s="2" t="s">
        <v>23</v>
      </c>
      <c r="C173" s="2" t="s">
        <v>1165</v>
      </c>
      <c r="D173" s="2" t="s">
        <v>1166</v>
      </c>
      <c r="E173" s="2" t="s">
        <v>26</v>
      </c>
      <c r="G173" s="2" t="s">
        <v>1167</v>
      </c>
      <c r="H173" s="2" t="s">
        <v>98</v>
      </c>
      <c r="I173" s="2" t="s">
        <v>603</v>
      </c>
      <c r="J173" s="2" t="s">
        <v>1168</v>
      </c>
      <c r="K173" s="2" t="s">
        <v>67</v>
      </c>
      <c r="L173" s="2" t="s">
        <v>43</v>
      </c>
      <c r="M173" s="2" t="s">
        <v>1169</v>
      </c>
      <c r="N173" s="2" t="s">
        <v>45</v>
      </c>
      <c r="O173" s="2" t="s">
        <v>1170</v>
      </c>
      <c r="P173" s="2" t="s">
        <v>139</v>
      </c>
      <c r="R173" s="2" t="s">
        <v>34</v>
      </c>
      <c r="S173" s="4" t="s">
        <v>1171</v>
      </c>
    </row>
    <row r="174">
      <c r="A174" s="3">
        <v>45684.22381851852</v>
      </c>
      <c r="B174" s="2" t="s">
        <v>23</v>
      </c>
      <c r="C174" s="2" t="s">
        <v>1172</v>
      </c>
      <c r="D174" s="2" t="s">
        <v>1166</v>
      </c>
      <c r="E174" s="2" t="s">
        <v>26</v>
      </c>
      <c r="H174" s="2" t="s">
        <v>98</v>
      </c>
      <c r="I174" s="2" t="s">
        <v>603</v>
      </c>
      <c r="J174" s="2" t="s">
        <v>1173</v>
      </c>
      <c r="K174" s="2" t="s">
        <v>67</v>
      </c>
      <c r="L174" s="2" t="s">
        <v>43</v>
      </c>
      <c r="M174" s="2" t="s">
        <v>1174</v>
      </c>
      <c r="N174" s="2" t="s">
        <v>45</v>
      </c>
      <c r="O174" s="2" t="s">
        <v>1175</v>
      </c>
      <c r="P174" s="2" t="s">
        <v>537</v>
      </c>
      <c r="R174" s="2" t="s">
        <v>34</v>
      </c>
      <c r="S174" s="4" t="s">
        <v>1176</v>
      </c>
    </row>
    <row r="175">
      <c r="A175" s="3">
        <v>45635.386804236114</v>
      </c>
      <c r="B175" s="2" t="s">
        <v>23</v>
      </c>
      <c r="C175" s="2" t="s">
        <v>1177</v>
      </c>
      <c r="D175" s="2" t="s">
        <v>1178</v>
      </c>
      <c r="E175" s="2" t="s">
        <v>26</v>
      </c>
      <c r="F175" s="2" t="s">
        <v>193</v>
      </c>
      <c r="G175" s="2" t="s">
        <v>1179</v>
      </c>
      <c r="H175" s="2" t="s">
        <v>98</v>
      </c>
      <c r="I175" s="2" t="s">
        <v>1180</v>
      </c>
      <c r="J175" s="2" t="s">
        <v>1181</v>
      </c>
      <c r="K175" s="2" t="s">
        <v>67</v>
      </c>
      <c r="L175" s="2" t="s">
        <v>68</v>
      </c>
      <c r="M175" s="2" t="s">
        <v>86</v>
      </c>
      <c r="N175" s="2" t="s">
        <v>276</v>
      </c>
      <c r="O175" s="2" t="s">
        <v>1182</v>
      </c>
      <c r="P175" s="2" t="s">
        <v>1183</v>
      </c>
      <c r="Q175" s="2" t="s">
        <v>1184</v>
      </c>
      <c r="R175" s="2" t="s">
        <v>34</v>
      </c>
      <c r="S175" s="4" t="s">
        <v>1185</v>
      </c>
    </row>
    <row r="176">
      <c r="A176" s="3">
        <v>44780.931636354166</v>
      </c>
      <c r="B176" s="2" t="s">
        <v>23</v>
      </c>
      <c r="C176" s="2" t="s">
        <v>1186</v>
      </c>
      <c r="D176" s="2" t="s">
        <v>1187</v>
      </c>
      <c r="E176" s="2" t="s">
        <v>26</v>
      </c>
      <c r="H176" s="2" t="s">
        <v>98</v>
      </c>
      <c r="I176" s="2" t="s">
        <v>84</v>
      </c>
      <c r="J176" s="2" t="s">
        <v>1188</v>
      </c>
      <c r="L176" s="2" t="s">
        <v>77</v>
      </c>
      <c r="O176" s="2" t="s">
        <v>1189</v>
      </c>
      <c r="Q176" s="2" t="s">
        <v>1190</v>
      </c>
      <c r="R176" s="2" t="s">
        <v>34</v>
      </c>
      <c r="S176" s="4" t="s">
        <v>1191</v>
      </c>
    </row>
    <row r="177">
      <c r="A177" s="3">
        <v>44780.95248039352</v>
      </c>
      <c r="B177" s="2" t="s">
        <v>23</v>
      </c>
      <c r="C177" s="2" t="s">
        <v>1192</v>
      </c>
      <c r="D177" s="2" t="s">
        <v>1193</v>
      </c>
      <c r="E177" s="2" t="s">
        <v>26</v>
      </c>
      <c r="H177" s="2" t="s">
        <v>122</v>
      </c>
      <c r="I177" s="2" t="s">
        <v>145</v>
      </c>
      <c r="J177" s="2" t="s">
        <v>1188</v>
      </c>
      <c r="K177" s="2" t="s">
        <v>42</v>
      </c>
      <c r="L177" s="2" t="s">
        <v>77</v>
      </c>
      <c r="Q177" s="2" t="s">
        <v>1190</v>
      </c>
      <c r="R177" s="2" t="s">
        <v>34</v>
      </c>
      <c r="S177" s="4" t="s">
        <v>1194</v>
      </c>
    </row>
    <row r="178">
      <c r="A178" s="3">
        <v>44831.07597355324</v>
      </c>
      <c r="B178" s="2" t="s">
        <v>23</v>
      </c>
      <c r="C178" s="2" t="s">
        <v>1195</v>
      </c>
      <c r="D178" s="2" t="s">
        <v>1196</v>
      </c>
      <c r="E178" s="2" t="s">
        <v>26</v>
      </c>
      <c r="H178" s="2" t="s">
        <v>64</v>
      </c>
      <c r="I178" s="2" t="s">
        <v>145</v>
      </c>
      <c r="J178" s="2" t="s">
        <v>1197</v>
      </c>
      <c r="K178" s="2" t="s">
        <v>67</v>
      </c>
      <c r="L178" s="2" t="s">
        <v>77</v>
      </c>
      <c r="M178" s="2" t="s">
        <v>86</v>
      </c>
      <c r="P178" s="2" t="s">
        <v>511</v>
      </c>
      <c r="Q178" s="2" t="s">
        <v>1198</v>
      </c>
      <c r="R178" s="2" t="s">
        <v>34</v>
      </c>
      <c r="S178" s="4" t="s">
        <v>1199</v>
      </c>
    </row>
    <row r="179">
      <c r="A179" s="3">
        <v>44782.78219121528</v>
      </c>
      <c r="B179" s="2" t="s">
        <v>23</v>
      </c>
      <c r="C179" s="2" t="s">
        <v>1200</v>
      </c>
      <c r="D179" s="2" t="s">
        <v>1201</v>
      </c>
      <c r="E179" s="2" t="s">
        <v>133</v>
      </c>
      <c r="F179" s="2" t="s">
        <v>370</v>
      </c>
      <c r="H179" s="2" t="s">
        <v>98</v>
      </c>
      <c r="I179" s="2" t="s">
        <v>603</v>
      </c>
      <c r="J179" s="2" t="s">
        <v>1202</v>
      </c>
      <c r="K179" s="2" t="s">
        <v>67</v>
      </c>
      <c r="L179" s="2" t="s">
        <v>43</v>
      </c>
      <c r="M179" s="2" t="s">
        <v>1203</v>
      </c>
      <c r="N179" s="2" t="s">
        <v>45</v>
      </c>
      <c r="O179" s="2" t="s">
        <v>1204</v>
      </c>
      <c r="R179" s="2" t="s">
        <v>34</v>
      </c>
      <c r="S179" s="4" t="s">
        <v>1205</v>
      </c>
    </row>
    <row r="180">
      <c r="A180" s="3">
        <v>44782.78428753473</v>
      </c>
      <c r="B180" s="2" t="s">
        <v>23</v>
      </c>
      <c r="C180" s="2" t="s">
        <v>1206</v>
      </c>
      <c r="D180" s="2" t="s">
        <v>1201</v>
      </c>
      <c r="E180" s="2" t="s">
        <v>241</v>
      </c>
      <c r="H180" s="2" t="s">
        <v>98</v>
      </c>
      <c r="I180" s="2" t="s">
        <v>603</v>
      </c>
      <c r="J180" s="2" t="s">
        <v>1207</v>
      </c>
      <c r="K180" s="2" t="s">
        <v>67</v>
      </c>
      <c r="L180" s="2" t="s">
        <v>43</v>
      </c>
      <c r="M180" s="2" t="s">
        <v>1208</v>
      </c>
      <c r="N180" s="2" t="s">
        <v>45</v>
      </c>
      <c r="O180" s="2" t="s">
        <v>1209</v>
      </c>
      <c r="R180" s="2" t="s">
        <v>34</v>
      </c>
      <c r="S180" s="4" t="s">
        <v>1210</v>
      </c>
    </row>
    <row r="181">
      <c r="A181" s="3">
        <v>44809.114825578705</v>
      </c>
      <c r="B181" s="2" t="s">
        <v>23</v>
      </c>
      <c r="C181" s="2" t="s">
        <v>1211</v>
      </c>
      <c r="D181" s="2" t="s">
        <v>1212</v>
      </c>
      <c r="E181" s="2" t="s">
        <v>109</v>
      </c>
      <c r="F181" s="2" t="s">
        <v>51</v>
      </c>
      <c r="G181" s="2" t="s">
        <v>1213</v>
      </c>
      <c r="H181" s="2" t="s">
        <v>64</v>
      </c>
      <c r="I181" s="2" t="s">
        <v>1214</v>
      </c>
      <c r="J181" s="2" t="s">
        <v>1215</v>
      </c>
      <c r="K181" s="2" t="s">
        <v>67</v>
      </c>
      <c r="L181" s="2" t="s">
        <v>43</v>
      </c>
      <c r="M181" s="2" t="s">
        <v>1216</v>
      </c>
      <c r="N181" s="2" t="s">
        <v>57</v>
      </c>
      <c r="O181" s="2" t="s">
        <v>1217</v>
      </c>
      <c r="P181" s="2" t="s">
        <v>184</v>
      </c>
      <c r="Q181" s="2" t="s">
        <v>1218</v>
      </c>
      <c r="R181" s="2" t="s">
        <v>34</v>
      </c>
      <c r="S181" s="4" t="s">
        <v>1219</v>
      </c>
    </row>
    <row r="182">
      <c r="A182" s="3">
        <v>45200.70664556713</v>
      </c>
      <c r="B182" s="2" t="s">
        <v>23</v>
      </c>
      <c r="C182" s="2" t="s">
        <v>1220</v>
      </c>
      <c r="D182" s="2" t="s">
        <v>1221</v>
      </c>
      <c r="E182" s="2" t="s">
        <v>26</v>
      </c>
      <c r="H182" s="2" t="s">
        <v>122</v>
      </c>
      <c r="I182" s="2" t="s">
        <v>145</v>
      </c>
      <c r="J182" s="2" t="s">
        <v>1222</v>
      </c>
      <c r="L182" s="2" t="s">
        <v>43</v>
      </c>
      <c r="M182" s="2" t="s">
        <v>1223</v>
      </c>
      <c r="N182" s="2" t="s">
        <v>45</v>
      </c>
      <c r="O182" s="2" t="s">
        <v>1224</v>
      </c>
      <c r="R182" s="2" t="s">
        <v>34</v>
      </c>
      <c r="S182" s="4" t="s">
        <v>1225</v>
      </c>
    </row>
    <row r="183">
      <c r="A183" s="3">
        <v>44892.89872866898</v>
      </c>
      <c r="B183" s="2" t="s">
        <v>23</v>
      </c>
      <c r="C183" s="2" t="s">
        <v>1226</v>
      </c>
      <c r="D183" s="2" t="s">
        <v>1227</v>
      </c>
      <c r="E183" s="2" t="s">
        <v>109</v>
      </c>
      <c r="F183" s="2" t="s">
        <v>51</v>
      </c>
      <c r="G183" s="2" t="s">
        <v>1228</v>
      </c>
      <c r="H183" s="2" t="s">
        <v>122</v>
      </c>
      <c r="I183" s="2" t="s">
        <v>84</v>
      </c>
      <c r="J183" s="2" t="s">
        <v>1229</v>
      </c>
      <c r="K183" s="2" t="s">
        <v>42</v>
      </c>
      <c r="L183" s="2" t="s">
        <v>43</v>
      </c>
      <c r="M183" s="2" t="s">
        <v>1230</v>
      </c>
      <c r="N183" s="2" t="s">
        <v>45</v>
      </c>
      <c r="O183" s="2" t="s">
        <v>1231</v>
      </c>
      <c r="P183" s="2" t="s">
        <v>254</v>
      </c>
      <c r="R183" s="2" t="s">
        <v>34</v>
      </c>
      <c r="S183" s="4" t="s">
        <v>1232</v>
      </c>
    </row>
    <row r="184">
      <c r="A184" s="3">
        <v>44813.476138275466</v>
      </c>
      <c r="B184" s="2" t="s">
        <v>23</v>
      </c>
      <c r="C184" s="2" t="s">
        <v>1233</v>
      </c>
      <c r="D184" s="2" t="s">
        <v>1234</v>
      </c>
      <c r="E184" s="2" t="s">
        <v>26</v>
      </c>
      <c r="I184" s="2" t="s">
        <v>1235</v>
      </c>
      <c r="J184" s="2" t="s">
        <v>1236</v>
      </c>
      <c r="K184" s="2" t="s">
        <v>42</v>
      </c>
      <c r="L184" s="2" t="s">
        <v>43</v>
      </c>
      <c r="N184" s="2" t="s">
        <v>45</v>
      </c>
      <c r="O184" s="2" t="s">
        <v>1237</v>
      </c>
      <c r="P184" s="2" t="s">
        <v>1238</v>
      </c>
      <c r="Q184" s="2" t="s">
        <v>1239</v>
      </c>
      <c r="R184" s="2" t="s">
        <v>34</v>
      </c>
      <c r="S184" s="4" t="s">
        <v>1240</v>
      </c>
    </row>
    <row r="185">
      <c r="A185" s="3">
        <v>44813.481542141206</v>
      </c>
      <c r="B185" s="2" t="s">
        <v>23</v>
      </c>
      <c r="C185" s="2" t="s">
        <v>1241</v>
      </c>
      <c r="D185" s="2" t="s">
        <v>1234</v>
      </c>
      <c r="E185" s="2" t="s">
        <v>26</v>
      </c>
      <c r="I185" s="2" t="s">
        <v>172</v>
      </c>
      <c r="J185" s="2" t="s">
        <v>1242</v>
      </c>
      <c r="K185" s="2" t="s">
        <v>42</v>
      </c>
      <c r="L185" s="2" t="s">
        <v>43</v>
      </c>
      <c r="N185" s="2" t="s">
        <v>45</v>
      </c>
      <c r="O185" s="2" t="s">
        <v>1243</v>
      </c>
      <c r="P185" s="2" t="s">
        <v>1244</v>
      </c>
      <c r="Q185" s="2" t="s">
        <v>1245</v>
      </c>
      <c r="R185" s="2" t="s">
        <v>34</v>
      </c>
      <c r="S185" s="4" t="s">
        <v>1246</v>
      </c>
    </row>
    <row r="186">
      <c r="A186" s="3">
        <v>44780.93387890046</v>
      </c>
      <c r="B186" s="2" t="s">
        <v>23</v>
      </c>
      <c r="C186" s="2" t="s">
        <v>1247</v>
      </c>
      <c r="D186" s="2" t="s">
        <v>1248</v>
      </c>
      <c r="E186" s="2" t="s">
        <v>26</v>
      </c>
      <c r="I186" s="2" t="s">
        <v>1249</v>
      </c>
      <c r="J186" s="2" t="s">
        <v>1250</v>
      </c>
      <c r="L186" s="2" t="s">
        <v>68</v>
      </c>
      <c r="O186" s="2" t="s">
        <v>1251</v>
      </c>
      <c r="P186" s="2" t="s">
        <v>1252</v>
      </c>
      <c r="R186" s="2" t="s">
        <v>34</v>
      </c>
      <c r="S186" s="4" t="s">
        <v>1253</v>
      </c>
    </row>
    <row r="187">
      <c r="A187" s="3">
        <v>44780.95563231481</v>
      </c>
      <c r="B187" s="2" t="s">
        <v>23</v>
      </c>
      <c r="C187" s="2" t="s">
        <v>1254</v>
      </c>
      <c r="D187" s="2" t="s">
        <v>1255</v>
      </c>
      <c r="E187" s="2" t="s">
        <v>26</v>
      </c>
      <c r="I187" s="2" t="s">
        <v>433</v>
      </c>
      <c r="J187" s="2" t="s">
        <v>1256</v>
      </c>
      <c r="R187" s="2" t="s">
        <v>34</v>
      </c>
      <c r="S187" s="4" t="s">
        <v>1257</v>
      </c>
    </row>
    <row r="188">
      <c r="A188" s="3">
        <v>44859.88708627315</v>
      </c>
      <c r="B188" s="2" t="s">
        <v>23</v>
      </c>
      <c r="C188" s="2" t="s">
        <v>1258</v>
      </c>
      <c r="D188" s="2" t="s">
        <v>1259</v>
      </c>
      <c r="E188" s="2" t="s">
        <v>26</v>
      </c>
      <c r="F188" s="2" t="s">
        <v>1260</v>
      </c>
      <c r="I188" s="2" t="s">
        <v>75</v>
      </c>
      <c r="J188" s="2" t="s">
        <v>1261</v>
      </c>
      <c r="K188" s="2" t="s">
        <v>42</v>
      </c>
      <c r="L188" s="2" t="s">
        <v>43</v>
      </c>
      <c r="N188" s="2" t="s">
        <v>45</v>
      </c>
      <c r="O188" s="2" t="s">
        <v>1262</v>
      </c>
      <c r="P188" s="2" t="s">
        <v>736</v>
      </c>
      <c r="Q188" s="2" t="s">
        <v>1263</v>
      </c>
      <c r="R188" s="2" t="s">
        <v>34</v>
      </c>
      <c r="S188" s="4" t="s">
        <v>1264</v>
      </c>
    </row>
    <row r="189">
      <c r="A189" s="3">
        <v>45524.132623784724</v>
      </c>
      <c r="B189" s="2" t="s">
        <v>23</v>
      </c>
      <c r="C189" s="2" t="s">
        <v>1265</v>
      </c>
      <c r="D189" s="2" t="s">
        <v>1266</v>
      </c>
      <c r="E189" s="2" t="s">
        <v>26</v>
      </c>
      <c r="G189" s="2" t="s">
        <v>1267</v>
      </c>
      <c r="H189" s="2" t="s">
        <v>64</v>
      </c>
      <c r="I189" s="2" t="s">
        <v>1268</v>
      </c>
      <c r="J189" s="2" t="s">
        <v>1269</v>
      </c>
      <c r="L189" s="2" t="s">
        <v>77</v>
      </c>
      <c r="M189" s="2" t="s">
        <v>1270</v>
      </c>
      <c r="N189" s="2" t="s">
        <v>57</v>
      </c>
      <c r="O189" s="2" t="s">
        <v>1271</v>
      </c>
      <c r="P189" s="2" t="s">
        <v>1272</v>
      </c>
      <c r="Q189" s="2" t="s">
        <v>1273</v>
      </c>
      <c r="R189" s="2" t="s">
        <v>34</v>
      </c>
      <c r="S189" s="4" t="s">
        <v>1274</v>
      </c>
    </row>
    <row r="190">
      <c r="A190" s="3">
        <v>45312.65985776621</v>
      </c>
      <c r="B190" s="2" t="s">
        <v>23</v>
      </c>
      <c r="C190" s="2" t="s">
        <v>1275</v>
      </c>
      <c r="D190" s="2" t="s">
        <v>1276</v>
      </c>
      <c r="E190" s="2" t="s">
        <v>26</v>
      </c>
      <c r="G190" s="2" t="s">
        <v>1277</v>
      </c>
      <c r="H190" s="2" t="s">
        <v>74</v>
      </c>
      <c r="I190" s="2" t="s">
        <v>1278</v>
      </c>
      <c r="J190" s="2" t="s">
        <v>1279</v>
      </c>
      <c r="K190" s="2" t="s">
        <v>1280</v>
      </c>
      <c r="L190" s="2" t="s">
        <v>77</v>
      </c>
      <c r="N190" s="2" t="s">
        <v>45</v>
      </c>
      <c r="O190" s="2" t="s">
        <v>1281</v>
      </c>
      <c r="P190" s="2" t="s">
        <v>1282</v>
      </c>
      <c r="R190" s="2" t="s">
        <v>185</v>
      </c>
      <c r="S190" s="4" t="s">
        <v>1283</v>
      </c>
    </row>
    <row r="191">
      <c r="A191" s="3">
        <v>44780.96614517361</v>
      </c>
      <c r="B191" s="2" t="s">
        <v>23</v>
      </c>
      <c r="C191" s="2" t="s">
        <v>1284</v>
      </c>
      <c r="D191" s="2" t="s">
        <v>1285</v>
      </c>
      <c r="E191" s="2" t="s">
        <v>109</v>
      </c>
      <c r="F191" s="2" t="s">
        <v>51</v>
      </c>
      <c r="H191" s="2" t="s">
        <v>74</v>
      </c>
      <c r="I191" s="2" t="s">
        <v>145</v>
      </c>
      <c r="J191" s="2" t="s">
        <v>1286</v>
      </c>
      <c r="L191" s="2" t="s">
        <v>43</v>
      </c>
      <c r="N191" s="2" t="s">
        <v>87</v>
      </c>
      <c r="P191" s="2" t="s">
        <v>1287</v>
      </c>
      <c r="R191" s="2" t="s">
        <v>34</v>
      </c>
      <c r="S191" s="4" t="s">
        <v>1288</v>
      </c>
    </row>
    <row r="192">
      <c r="A192" s="3">
        <v>44780.968078715276</v>
      </c>
      <c r="B192" s="2" t="s">
        <v>23</v>
      </c>
      <c r="C192" s="2" t="s">
        <v>1289</v>
      </c>
      <c r="D192" s="2" t="s">
        <v>1290</v>
      </c>
      <c r="E192" s="2" t="s">
        <v>26</v>
      </c>
      <c r="H192" s="2" t="s">
        <v>122</v>
      </c>
      <c r="I192" s="2" t="s">
        <v>84</v>
      </c>
      <c r="J192" s="2" t="s">
        <v>1291</v>
      </c>
      <c r="K192" s="2" t="s">
        <v>67</v>
      </c>
      <c r="L192" s="2" t="s">
        <v>77</v>
      </c>
      <c r="N192" s="2" t="s">
        <v>87</v>
      </c>
      <c r="P192" s="2" t="s">
        <v>1292</v>
      </c>
      <c r="R192" s="2" t="s">
        <v>34</v>
      </c>
      <c r="S192" s="4" t="s">
        <v>1293</v>
      </c>
    </row>
    <row r="193">
      <c r="A193" s="3">
        <v>44780.96993180556</v>
      </c>
      <c r="B193" s="2" t="s">
        <v>23</v>
      </c>
      <c r="C193" s="2" t="s">
        <v>1294</v>
      </c>
      <c r="D193" s="2" t="s">
        <v>1290</v>
      </c>
      <c r="E193" s="2" t="s">
        <v>26</v>
      </c>
      <c r="H193" s="2" t="s">
        <v>39</v>
      </c>
      <c r="I193" s="2" t="s">
        <v>84</v>
      </c>
      <c r="J193" s="2" t="s">
        <v>1295</v>
      </c>
      <c r="K193" s="2" t="s">
        <v>67</v>
      </c>
      <c r="L193" s="2" t="s">
        <v>77</v>
      </c>
      <c r="O193" s="2" t="s">
        <v>1296</v>
      </c>
      <c r="P193" s="2" t="s">
        <v>1297</v>
      </c>
      <c r="R193" s="2" t="s">
        <v>34</v>
      </c>
      <c r="S193" s="4" t="s">
        <v>1298</v>
      </c>
    </row>
    <row r="194">
      <c r="A194" s="3">
        <v>44780.97270873842</v>
      </c>
      <c r="B194" s="2" t="s">
        <v>23</v>
      </c>
      <c r="C194" s="2" t="s">
        <v>1299</v>
      </c>
      <c r="D194" s="2" t="s">
        <v>1290</v>
      </c>
      <c r="E194" s="2" t="s">
        <v>26</v>
      </c>
      <c r="H194" s="2" t="s">
        <v>98</v>
      </c>
      <c r="I194" s="2" t="s">
        <v>1300</v>
      </c>
      <c r="J194" s="2" t="s">
        <v>1301</v>
      </c>
      <c r="K194" s="2" t="s">
        <v>67</v>
      </c>
      <c r="L194" s="2" t="s">
        <v>77</v>
      </c>
      <c r="O194" s="2" t="s">
        <v>1302</v>
      </c>
      <c r="R194" s="2" t="s">
        <v>34</v>
      </c>
      <c r="S194" s="4" t="s">
        <v>1303</v>
      </c>
    </row>
    <row r="195">
      <c r="A195" s="3">
        <v>44780.976452731484</v>
      </c>
      <c r="B195" s="2" t="s">
        <v>23</v>
      </c>
      <c r="C195" s="2" t="s">
        <v>1304</v>
      </c>
      <c r="D195" s="2" t="s">
        <v>1290</v>
      </c>
      <c r="E195" s="2" t="s">
        <v>26</v>
      </c>
      <c r="H195" s="2" t="s">
        <v>52</v>
      </c>
      <c r="I195" s="2" t="s">
        <v>84</v>
      </c>
      <c r="J195" s="2" t="s">
        <v>1305</v>
      </c>
      <c r="K195" s="2" t="s">
        <v>67</v>
      </c>
      <c r="L195" s="2" t="s">
        <v>77</v>
      </c>
      <c r="N195" s="2" t="s">
        <v>87</v>
      </c>
      <c r="P195" s="2" t="s">
        <v>88</v>
      </c>
      <c r="R195" s="2" t="s">
        <v>34</v>
      </c>
      <c r="S195" s="4" t="s">
        <v>1306</v>
      </c>
    </row>
    <row r="196">
      <c r="A196" s="3">
        <v>44780.978034050924</v>
      </c>
      <c r="B196" s="2" t="s">
        <v>23</v>
      </c>
      <c r="C196" s="2" t="s">
        <v>1307</v>
      </c>
      <c r="D196" s="2" t="s">
        <v>1290</v>
      </c>
      <c r="E196" s="2" t="s">
        <v>26</v>
      </c>
      <c r="I196" s="2" t="s">
        <v>84</v>
      </c>
      <c r="J196" s="2" t="s">
        <v>1308</v>
      </c>
      <c r="K196" s="2" t="s">
        <v>67</v>
      </c>
      <c r="L196" s="2" t="s">
        <v>77</v>
      </c>
      <c r="N196" s="2" t="s">
        <v>45</v>
      </c>
      <c r="O196" s="2" t="s">
        <v>429</v>
      </c>
      <c r="P196" s="2" t="s">
        <v>254</v>
      </c>
      <c r="R196" s="2" t="s">
        <v>34</v>
      </c>
      <c r="S196" s="4" t="s">
        <v>1309</v>
      </c>
    </row>
    <row r="197">
      <c r="A197" s="3">
        <v>44780.97966244213</v>
      </c>
      <c r="B197" s="2" t="s">
        <v>23</v>
      </c>
      <c r="C197" s="2" t="s">
        <v>1310</v>
      </c>
      <c r="D197" s="2" t="s">
        <v>1311</v>
      </c>
      <c r="E197" s="2" t="s">
        <v>26</v>
      </c>
      <c r="H197" s="2" t="s">
        <v>122</v>
      </c>
      <c r="I197" s="2" t="s">
        <v>84</v>
      </c>
      <c r="J197" s="2" t="s">
        <v>1312</v>
      </c>
      <c r="L197" s="2" t="s">
        <v>77</v>
      </c>
      <c r="O197" s="2" t="s">
        <v>1313</v>
      </c>
      <c r="P197" s="2" t="s">
        <v>1314</v>
      </c>
      <c r="R197" s="2" t="s">
        <v>34</v>
      </c>
      <c r="S197" s="4" t="s">
        <v>1315</v>
      </c>
    </row>
    <row r="198">
      <c r="A198" s="3">
        <v>45419.09736168981</v>
      </c>
      <c r="B198" s="2" t="s">
        <v>23</v>
      </c>
      <c r="C198" s="2" t="s">
        <v>1316</v>
      </c>
      <c r="D198" s="2" t="s">
        <v>1317</v>
      </c>
      <c r="E198" s="2" t="s">
        <v>26</v>
      </c>
      <c r="F198" s="2" t="s">
        <v>38</v>
      </c>
      <c r="H198" s="2" t="s">
        <v>64</v>
      </c>
      <c r="I198" s="2" t="s">
        <v>1318</v>
      </c>
      <c r="J198" s="2" t="s">
        <v>1319</v>
      </c>
      <c r="K198" s="2" t="s">
        <v>1320</v>
      </c>
      <c r="L198" s="2" t="s">
        <v>154</v>
      </c>
      <c r="N198" s="2" t="s">
        <v>57</v>
      </c>
      <c r="O198" s="2" t="s">
        <v>1321</v>
      </c>
      <c r="P198" s="2" t="s">
        <v>1322</v>
      </c>
      <c r="Q198" s="2" t="s">
        <v>1323</v>
      </c>
      <c r="R198" s="2" t="s">
        <v>34</v>
      </c>
      <c r="S198" s="4" t="s">
        <v>1324</v>
      </c>
    </row>
    <row r="199">
      <c r="A199" s="3">
        <v>45419.10140329861</v>
      </c>
      <c r="B199" s="2" t="s">
        <v>23</v>
      </c>
      <c r="C199" s="2" t="s">
        <v>1325</v>
      </c>
      <c r="D199" s="2" t="s">
        <v>1326</v>
      </c>
      <c r="E199" s="2" t="s">
        <v>26</v>
      </c>
      <c r="F199" s="2" t="s">
        <v>38</v>
      </c>
      <c r="H199" s="2" t="s">
        <v>64</v>
      </c>
      <c r="I199" s="2" t="s">
        <v>1318</v>
      </c>
      <c r="J199" s="2" t="s">
        <v>1327</v>
      </c>
      <c r="K199" s="2" t="s">
        <v>1320</v>
      </c>
      <c r="L199" s="2" t="s">
        <v>154</v>
      </c>
      <c r="N199" s="2" t="s">
        <v>57</v>
      </c>
      <c r="O199" s="2" t="s">
        <v>1328</v>
      </c>
      <c r="P199" s="2" t="s">
        <v>1244</v>
      </c>
      <c r="Q199" s="2" t="s">
        <v>1329</v>
      </c>
      <c r="R199" s="2" t="s">
        <v>34</v>
      </c>
      <c r="S199" s="4" t="s">
        <v>1330</v>
      </c>
    </row>
    <row r="200">
      <c r="A200" s="3">
        <v>45419.107938877314</v>
      </c>
      <c r="B200" s="2" t="s">
        <v>23</v>
      </c>
      <c r="C200" s="2" t="s">
        <v>1331</v>
      </c>
      <c r="D200" s="2" t="s">
        <v>1326</v>
      </c>
      <c r="E200" s="2" t="s">
        <v>26</v>
      </c>
      <c r="F200" s="2" t="s">
        <v>38</v>
      </c>
      <c r="H200" s="2" t="s">
        <v>64</v>
      </c>
      <c r="I200" s="2" t="s">
        <v>1318</v>
      </c>
      <c r="J200" s="2" t="s">
        <v>1332</v>
      </c>
      <c r="K200" s="2" t="s">
        <v>1320</v>
      </c>
      <c r="L200" s="2" t="s">
        <v>154</v>
      </c>
      <c r="N200" s="2" t="s">
        <v>57</v>
      </c>
      <c r="O200" s="2" t="s">
        <v>1333</v>
      </c>
      <c r="P200" s="2" t="s">
        <v>568</v>
      </c>
      <c r="Q200" s="2" t="s">
        <v>1334</v>
      </c>
      <c r="R200" s="2" t="s">
        <v>34</v>
      </c>
      <c r="S200" s="4" t="s">
        <v>1335</v>
      </c>
    </row>
    <row r="201">
      <c r="A201" s="3">
        <v>45162.25412878473</v>
      </c>
      <c r="B201" s="2" t="s">
        <v>23</v>
      </c>
      <c r="C201" s="2" t="s">
        <v>1336</v>
      </c>
      <c r="D201" s="2" t="s">
        <v>1337</v>
      </c>
      <c r="E201" s="2" t="s">
        <v>109</v>
      </c>
      <c r="F201" s="2" t="s">
        <v>51</v>
      </c>
      <c r="H201" s="2" t="s">
        <v>39</v>
      </c>
      <c r="I201" s="2" t="s">
        <v>75</v>
      </c>
      <c r="J201" s="2" t="s">
        <v>1338</v>
      </c>
      <c r="K201" s="2" t="s">
        <v>42</v>
      </c>
      <c r="L201" s="2" t="s">
        <v>77</v>
      </c>
      <c r="M201" s="2" t="s">
        <v>529</v>
      </c>
      <c r="N201" s="2" t="s">
        <v>45</v>
      </c>
      <c r="O201" s="2" t="s">
        <v>1339</v>
      </c>
      <c r="P201" s="2" t="s">
        <v>1340</v>
      </c>
      <c r="R201" s="2" t="s">
        <v>34</v>
      </c>
      <c r="S201" s="4" t="s">
        <v>1341</v>
      </c>
    </row>
    <row r="202">
      <c r="A202" s="3">
        <v>45162.26183021991</v>
      </c>
      <c r="B202" s="2" t="s">
        <v>23</v>
      </c>
      <c r="C202" s="2" t="s">
        <v>1342</v>
      </c>
      <c r="D202" s="2" t="s">
        <v>1337</v>
      </c>
      <c r="E202" s="2" t="s">
        <v>109</v>
      </c>
      <c r="F202" s="2" t="s">
        <v>51</v>
      </c>
      <c r="H202" s="2" t="s">
        <v>39</v>
      </c>
      <c r="I202" s="2" t="s">
        <v>75</v>
      </c>
      <c r="J202" s="2" t="s">
        <v>1343</v>
      </c>
      <c r="K202" s="2" t="s">
        <v>42</v>
      </c>
      <c r="L202" s="2" t="s">
        <v>77</v>
      </c>
      <c r="M202" s="2" t="s">
        <v>529</v>
      </c>
      <c r="N202" s="2" t="s">
        <v>45</v>
      </c>
      <c r="O202" s="2" t="s">
        <v>1339</v>
      </c>
      <c r="P202" s="2" t="s">
        <v>836</v>
      </c>
      <c r="R202" s="2" t="s">
        <v>34</v>
      </c>
      <c r="S202" s="4" t="s">
        <v>1344</v>
      </c>
    </row>
    <row r="203">
      <c r="A203" s="3">
        <v>44780.98134033565</v>
      </c>
      <c r="B203" s="2" t="s">
        <v>23</v>
      </c>
      <c r="C203" s="2" t="s">
        <v>1345</v>
      </c>
      <c r="D203" s="2" t="s">
        <v>1346</v>
      </c>
      <c r="E203" s="2" t="s">
        <v>26</v>
      </c>
      <c r="H203" s="2" t="s">
        <v>64</v>
      </c>
      <c r="I203" s="2" t="s">
        <v>93</v>
      </c>
      <c r="J203" s="2" t="s">
        <v>1347</v>
      </c>
      <c r="K203" s="2" t="s">
        <v>67</v>
      </c>
      <c r="L203" s="2" t="s">
        <v>77</v>
      </c>
      <c r="N203" s="2" t="s">
        <v>87</v>
      </c>
      <c r="P203" s="2" t="s">
        <v>1348</v>
      </c>
      <c r="Q203" s="2" t="s">
        <v>1349</v>
      </c>
      <c r="R203" s="2" t="s">
        <v>34</v>
      </c>
      <c r="S203" s="4" t="s">
        <v>1350</v>
      </c>
    </row>
    <row r="204">
      <c r="A204" s="3">
        <v>44780.98535957176</v>
      </c>
      <c r="B204" s="2" t="s">
        <v>23</v>
      </c>
      <c r="C204" s="2" t="s">
        <v>1351</v>
      </c>
      <c r="D204" s="2" t="s">
        <v>1352</v>
      </c>
      <c r="E204" s="2" t="s">
        <v>26</v>
      </c>
      <c r="H204" s="2" t="s">
        <v>39</v>
      </c>
      <c r="I204" s="2" t="s">
        <v>145</v>
      </c>
      <c r="J204" s="2" t="s">
        <v>1353</v>
      </c>
      <c r="K204" s="2" t="s">
        <v>67</v>
      </c>
      <c r="L204" s="2" t="s">
        <v>77</v>
      </c>
      <c r="N204" s="2" t="s">
        <v>87</v>
      </c>
      <c r="P204" s="2" t="s">
        <v>1348</v>
      </c>
      <c r="R204" s="2" t="s">
        <v>34</v>
      </c>
      <c r="S204" s="4" t="s">
        <v>1354</v>
      </c>
    </row>
    <row r="205">
      <c r="A205" s="3">
        <v>44780.98355729166</v>
      </c>
      <c r="B205" s="2" t="s">
        <v>23</v>
      </c>
      <c r="C205" s="2" t="s">
        <v>1355</v>
      </c>
      <c r="D205" s="2" t="s">
        <v>1356</v>
      </c>
      <c r="E205" s="2" t="s">
        <v>26</v>
      </c>
      <c r="H205" s="2" t="s">
        <v>98</v>
      </c>
      <c r="I205" s="2" t="s">
        <v>145</v>
      </c>
      <c r="J205" s="2" t="s">
        <v>1357</v>
      </c>
      <c r="L205" s="2" t="s">
        <v>77</v>
      </c>
      <c r="N205" s="2" t="s">
        <v>45</v>
      </c>
      <c r="O205" s="2" t="s">
        <v>1358</v>
      </c>
      <c r="P205" s="2" t="s">
        <v>1359</v>
      </c>
      <c r="R205" s="2" t="s">
        <v>34</v>
      </c>
      <c r="S205" s="4" t="s">
        <v>1360</v>
      </c>
    </row>
    <row r="206">
      <c r="A206" s="3">
        <v>44780.988334131944</v>
      </c>
      <c r="B206" s="2" t="s">
        <v>23</v>
      </c>
      <c r="C206" s="2" t="s">
        <v>1361</v>
      </c>
      <c r="D206" s="2" t="s">
        <v>1362</v>
      </c>
      <c r="E206" s="2" t="s">
        <v>26</v>
      </c>
      <c r="H206" s="2" t="s">
        <v>74</v>
      </c>
      <c r="I206" s="2" t="s">
        <v>84</v>
      </c>
      <c r="J206" s="2" t="s">
        <v>1363</v>
      </c>
      <c r="L206" s="2" t="s">
        <v>68</v>
      </c>
      <c r="N206" s="2" t="s">
        <v>87</v>
      </c>
      <c r="P206" s="2" t="s">
        <v>1364</v>
      </c>
      <c r="Q206" s="2" t="s">
        <v>1365</v>
      </c>
      <c r="R206" s="2" t="s">
        <v>34</v>
      </c>
      <c r="S206" s="4" t="s">
        <v>1366</v>
      </c>
    </row>
    <row r="207">
      <c r="A207" s="3">
        <v>44780.99006502314</v>
      </c>
      <c r="B207" s="2" t="s">
        <v>23</v>
      </c>
      <c r="C207" s="2" t="s">
        <v>1367</v>
      </c>
      <c r="D207" s="2" t="s">
        <v>1368</v>
      </c>
      <c r="E207" s="2" t="s">
        <v>26</v>
      </c>
      <c r="H207" s="2" t="s">
        <v>64</v>
      </c>
      <c r="I207" s="2" t="s">
        <v>117</v>
      </c>
      <c r="J207" s="2" t="s">
        <v>1369</v>
      </c>
      <c r="L207" s="2" t="s">
        <v>77</v>
      </c>
      <c r="N207" s="2" t="s">
        <v>87</v>
      </c>
      <c r="P207" s="2" t="s">
        <v>984</v>
      </c>
      <c r="Q207" s="2" t="s">
        <v>1370</v>
      </c>
      <c r="R207" s="2" t="s">
        <v>34</v>
      </c>
      <c r="S207" s="4" t="s">
        <v>1371</v>
      </c>
    </row>
    <row r="208">
      <c r="A208" s="3">
        <v>44780.99169596065</v>
      </c>
      <c r="B208" s="2" t="s">
        <v>23</v>
      </c>
      <c r="C208" s="2" t="s">
        <v>1372</v>
      </c>
      <c r="D208" s="2" t="s">
        <v>1368</v>
      </c>
      <c r="E208" s="2" t="s">
        <v>26</v>
      </c>
      <c r="H208" s="2" t="s">
        <v>64</v>
      </c>
      <c r="I208" s="2" t="s">
        <v>145</v>
      </c>
      <c r="J208" s="2" t="s">
        <v>1373</v>
      </c>
      <c r="L208" s="2" t="s">
        <v>77</v>
      </c>
      <c r="N208" s="2" t="s">
        <v>87</v>
      </c>
      <c r="P208" s="2" t="s">
        <v>408</v>
      </c>
      <c r="R208" s="2" t="s">
        <v>34</v>
      </c>
      <c r="S208" s="4" t="s">
        <v>1374</v>
      </c>
    </row>
    <row r="209">
      <c r="A209" s="3">
        <v>44780.99348763889</v>
      </c>
      <c r="B209" s="2" t="s">
        <v>23</v>
      </c>
      <c r="C209" s="2" t="s">
        <v>1375</v>
      </c>
      <c r="D209" s="2" t="s">
        <v>1368</v>
      </c>
      <c r="E209" s="2" t="s">
        <v>26</v>
      </c>
      <c r="H209" s="2" t="s">
        <v>52</v>
      </c>
      <c r="I209" s="2" t="s">
        <v>117</v>
      </c>
      <c r="J209" s="2" t="s">
        <v>1376</v>
      </c>
      <c r="L209" s="2" t="s">
        <v>77</v>
      </c>
      <c r="N209" s="2" t="s">
        <v>87</v>
      </c>
      <c r="P209" s="2" t="s">
        <v>836</v>
      </c>
      <c r="R209" s="2" t="s">
        <v>34</v>
      </c>
      <c r="S209" s="4" t="s">
        <v>1377</v>
      </c>
    </row>
    <row r="210">
      <c r="A210" s="3">
        <v>44780.99496964121</v>
      </c>
      <c r="B210" s="2" t="s">
        <v>23</v>
      </c>
      <c r="C210" s="2" t="s">
        <v>1378</v>
      </c>
      <c r="D210" s="2" t="s">
        <v>1368</v>
      </c>
      <c r="E210" s="2" t="s">
        <v>26</v>
      </c>
      <c r="H210" s="2" t="s">
        <v>64</v>
      </c>
      <c r="I210" s="2" t="s">
        <v>145</v>
      </c>
      <c r="J210" s="2" t="s">
        <v>1379</v>
      </c>
      <c r="L210" s="2" t="s">
        <v>77</v>
      </c>
      <c r="N210" s="2" t="s">
        <v>87</v>
      </c>
      <c r="P210" s="2" t="s">
        <v>511</v>
      </c>
      <c r="Q210" s="2" t="s">
        <v>1380</v>
      </c>
      <c r="R210" s="2" t="s">
        <v>34</v>
      </c>
      <c r="S210" s="4" t="s">
        <v>1381</v>
      </c>
    </row>
    <row r="211">
      <c r="A211" s="3">
        <v>44781.471183194444</v>
      </c>
      <c r="B211" s="2" t="s">
        <v>23</v>
      </c>
      <c r="C211" s="2" t="s">
        <v>1382</v>
      </c>
      <c r="D211" s="2" t="s">
        <v>1383</v>
      </c>
      <c r="E211" s="2" t="s">
        <v>26</v>
      </c>
      <c r="H211" s="2" t="s">
        <v>98</v>
      </c>
      <c r="I211" s="2" t="s">
        <v>145</v>
      </c>
      <c r="J211" s="2" t="s">
        <v>1384</v>
      </c>
      <c r="L211" s="2" t="s">
        <v>77</v>
      </c>
      <c r="N211" s="2" t="s">
        <v>87</v>
      </c>
      <c r="P211" s="2" t="s">
        <v>1385</v>
      </c>
      <c r="R211" s="2" t="s">
        <v>34</v>
      </c>
      <c r="S211" s="4" t="s">
        <v>1386</v>
      </c>
    </row>
    <row r="212">
      <c r="A212" s="3">
        <v>44781.47269836806</v>
      </c>
      <c r="B212" s="2" t="s">
        <v>23</v>
      </c>
      <c r="C212" s="2" t="s">
        <v>1387</v>
      </c>
      <c r="D212" s="2" t="s">
        <v>1388</v>
      </c>
      <c r="E212" s="2" t="s">
        <v>26</v>
      </c>
      <c r="H212" s="2" t="s">
        <v>52</v>
      </c>
      <c r="I212" s="2" t="s">
        <v>322</v>
      </c>
      <c r="J212" s="2" t="s">
        <v>1389</v>
      </c>
      <c r="L212" s="2" t="s">
        <v>55</v>
      </c>
      <c r="O212" s="2" t="s">
        <v>1390</v>
      </c>
      <c r="P212" s="2" t="s">
        <v>1110</v>
      </c>
      <c r="R212" s="2" t="s">
        <v>34</v>
      </c>
      <c r="S212" s="4" t="s">
        <v>1391</v>
      </c>
    </row>
    <row r="213">
      <c r="A213" s="3">
        <v>44781.47468150463</v>
      </c>
      <c r="B213" s="2" t="s">
        <v>23</v>
      </c>
      <c r="C213" s="2" t="s">
        <v>1392</v>
      </c>
      <c r="D213" s="2" t="s">
        <v>1393</v>
      </c>
      <c r="E213" s="2" t="s">
        <v>26</v>
      </c>
      <c r="I213" s="2" t="s">
        <v>145</v>
      </c>
      <c r="J213" s="2" t="s">
        <v>1394</v>
      </c>
      <c r="L213" s="2" t="s">
        <v>77</v>
      </c>
      <c r="O213" s="2" t="s">
        <v>1395</v>
      </c>
      <c r="P213" s="2" t="s">
        <v>1396</v>
      </c>
      <c r="Q213" s="2" t="s">
        <v>1397</v>
      </c>
      <c r="R213" s="2" t="s">
        <v>34</v>
      </c>
      <c r="S213" s="4" t="s">
        <v>1398</v>
      </c>
    </row>
    <row r="214">
      <c r="A214" s="3">
        <v>44781.47620457176</v>
      </c>
      <c r="B214" s="2" t="s">
        <v>23</v>
      </c>
      <c r="C214" s="2" t="s">
        <v>1399</v>
      </c>
      <c r="D214" s="2" t="s">
        <v>1393</v>
      </c>
      <c r="E214" s="2" t="s">
        <v>26</v>
      </c>
      <c r="I214" s="2" t="s">
        <v>84</v>
      </c>
      <c r="J214" s="2" t="s">
        <v>1400</v>
      </c>
      <c r="L214" s="2" t="s">
        <v>68</v>
      </c>
      <c r="N214" s="2" t="s">
        <v>87</v>
      </c>
      <c r="P214" s="2" t="s">
        <v>1401</v>
      </c>
      <c r="Q214" s="2" t="s">
        <v>1402</v>
      </c>
      <c r="R214" s="2" t="s">
        <v>34</v>
      </c>
      <c r="S214" s="4" t="s">
        <v>1403</v>
      </c>
    </row>
    <row r="215">
      <c r="A215" s="3">
        <v>45096.38654928241</v>
      </c>
      <c r="B215" s="2" t="s">
        <v>23</v>
      </c>
      <c r="C215" s="2" t="s">
        <v>1404</v>
      </c>
      <c r="D215" s="2" t="s">
        <v>1405</v>
      </c>
      <c r="E215" s="2" t="s">
        <v>1406</v>
      </c>
      <c r="F215" s="2" t="s">
        <v>1407</v>
      </c>
      <c r="H215" s="2" t="s">
        <v>308</v>
      </c>
      <c r="I215" s="2" t="s">
        <v>1408</v>
      </c>
      <c r="J215" s="2" t="s">
        <v>1409</v>
      </c>
      <c r="K215" s="2" t="s">
        <v>67</v>
      </c>
      <c r="L215" s="2" t="s">
        <v>55</v>
      </c>
      <c r="M215" s="2" t="s">
        <v>1410</v>
      </c>
      <c r="N215" s="2" t="s">
        <v>45</v>
      </c>
      <c r="O215" s="2" t="s">
        <v>1411</v>
      </c>
      <c r="P215" s="2" t="s">
        <v>291</v>
      </c>
      <c r="Q215" s="2" t="s">
        <v>1412</v>
      </c>
      <c r="R215" s="2" t="s">
        <v>34</v>
      </c>
      <c r="S215" s="4" t="s">
        <v>1413</v>
      </c>
    </row>
    <row r="216">
      <c r="A216" s="3">
        <v>44781.47761731481</v>
      </c>
      <c r="B216" s="2" t="s">
        <v>23</v>
      </c>
      <c r="C216" s="2" t="s">
        <v>1414</v>
      </c>
      <c r="D216" s="2" t="s">
        <v>1415</v>
      </c>
      <c r="E216" s="2" t="s">
        <v>26</v>
      </c>
      <c r="I216" s="2" t="s">
        <v>213</v>
      </c>
      <c r="J216" s="2" t="s">
        <v>1416</v>
      </c>
      <c r="L216" s="2" t="s">
        <v>77</v>
      </c>
      <c r="N216" s="2" t="s">
        <v>87</v>
      </c>
      <c r="Q216" s="2" t="s">
        <v>1417</v>
      </c>
      <c r="R216" s="2" t="s">
        <v>34</v>
      </c>
      <c r="S216" s="4" t="s">
        <v>1418</v>
      </c>
    </row>
    <row r="217">
      <c r="A217" s="3">
        <v>44781.479002141205</v>
      </c>
      <c r="B217" s="2" t="s">
        <v>23</v>
      </c>
      <c r="C217" s="2" t="s">
        <v>1419</v>
      </c>
      <c r="D217" s="2" t="s">
        <v>1415</v>
      </c>
      <c r="E217" s="2" t="s">
        <v>26</v>
      </c>
      <c r="F217" s="2" t="s">
        <v>193</v>
      </c>
      <c r="H217" s="2" t="s">
        <v>98</v>
      </c>
      <c r="I217" s="2" t="s">
        <v>213</v>
      </c>
      <c r="J217" s="2" t="s">
        <v>1420</v>
      </c>
      <c r="L217" s="2" t="s">
        <v>77</v>
      </c>
      <c r="P217" s="2" t="s">
        <v>1348</v>
      </c>
      <c r="R217" s="2" t="s">
        <v>34</v>
      </c>
      <c r="S217" s="4" t="s">
        <v>1421</v>
      </c>
    </row>
    <row r="218">
      <c r="A218" s="3">
        <v>44781.48071998842</v>
      </c>
      <c r="B218" s="2" t="s">
        <v>23</v>
      </c>
      <c r="C218" s="2" t="s">
        <v>1422</v>
      </c>
      <c r="D218" s="2" t="s">
        <v>1423</v>
      </c>
      <c r="E218" s="2" t="s">
        <v>26</v>
      </c>
      <c r="H218" s="2" t="s">
        <v>39</v>
      </c>
      <c r="I218" s="2" t="s">
        <v>84</v>
      </c>
      <c r="J218" s="2" t="s">
        <v>1424</v>
      </c>
      <c r="L218" s="2" t="s">
        <v>68</v>
      </c>
      <c r="N218" s="2" t="s">
        <v>87</v>
      </c>
      <c r="P218" s="2" t="s">
        <v>88</v>
      </c>
      <c r="R218" s="2" t="s">
        <v>34</v>
      </c>
      <c r="S218" s="4" t="s">
        <v>1425</v>
      </c>
    </row>
    <row r="219">
      <c r="A219" s="3">
        <v>44781.48272135417</v>
      </c>
      <c r="B219" s="2" t="s">
        <v>23</v>
      </c>
      <c r="C219" s="2" t="s">
        <v>1426</v>
      </c>
      <c r="D219" s="2" t="s">
        <v>1427</v>
      </c>
      <c r="E219" s="2" t="s">
        <v>26</v>
      </c>
      <c r="I219" s="2" t="s">
        <v>1428</v>
      </c>
      <c r="J219" s="2" t="s">
        <v>1429</v>
      </c>
      <c r="L219" s="2" t="s">
        <v>77</v>
      </c>
      <c r="O219" s="2" t="s">
        <v>1430</v>
      </c>
      <c r="P219" s="2" t="s">
        <v>1431</v>
      </c>
      <c r="R219" s="2" t="s">
        <v>34</v>
      </c>
      <c r="S219" s="4" t="s">
        <v>1432</v>
      </c>
    </row>
    <row r="220">
      <c r="A220" s="3">
        <v>44872.316780231486</v>
      </c>
      <c r="B220" s="2" t="s">
        <v>23</v>
      </c>
      <c r="C220" s="2" t="s">
        <v>1433</v>
      </c>
      <c r="D220" s="2" t="s">
        <v>1434</v>
      </c>
      <c r="E220" s="2" t="s">
        <v>109</v>
      </c>
      <c r="F220" s="2" t="s">
        <v>1435</v>
      </c>
      <c r="H220" s="2" t="s">
        <v>122</v>
      </c>
      <c r="I220" s="2" t="s">
        <v>145</v>
      </c>
      <c r="J220" s="2" t="s">
        <v>1436</v>
      </c>
      <c r="K220" s="2" t="s">
        <v>67</v>
      </c>
      <c r="L220" s="2" t="s">
        <v>43</v>
      </c>
      <c r="M220" s="2" t="s">
        <v>1437</v>
      </c>
      <c r="N220" s="2" t="s">
        <v>87</v>
      </c>
      <c r="P220" s="2" t="s">
        <v>1438</v>
      </c>
      <c r="R220" s="2" t="s">
        <v>34</v>
      </c>
      <c r="S220" s="4" t="s">
        <v>1439</v>
      </c>
    </row>
    <row r="221">
      <c r="A221" s="3">
        <v>44900.01337859954</v>
      </c>
      <c r="B221" s="2" t="s">
        <v>23</v>
      </c>
      <c r="C221" s="2" t="s">
        <v>1440</v>
      </c>
      <c r="D221" s="2" t="s">
        <v>1441</v>
      </c>
      <c r="E221" s="2" t="s">
        <v>26</v>
      </c>
      <c r="H221" s="2" t="s">
        <v>98</v>
      </c>
      <c r="I221" s="2" t="s">
        <v>145</v>
      </c>
      <c r="J221" s="2" t="s">
        <v>1442</v>
      </c>
      <c r="K221" s="2" t="s">
        <v>67</v>
      </c>
      <c r="L221" s="2" t="s">
        <v>43</v>
      </c>
      <c r="M221" s="2" t="s">
        <v>1443</v>
      </c>
      <c r="P221" s="2" t="s">
        <v>408</v>
      </c>
      <c r="R221" s="2" t="s">
        <v>34</v>
      </c>
      <c r="S221" s="4" t="s">
        <v>1444</v>
      </c>
    </row>
    <row r="222">
      <c r="A222" s="3">
        <v>44781.48613482639</v>
      </c>
      <c r="B222" s="2" t="s">
        <v>23</v>
      </c>
      <c r="C222" s="2" t="s">
        <v>1445</v>
      </c>
      <c r="D222" s="2" t="s">
        <v>1446</v>
      </c>
      <c r="E222" s="2" t="s">
        <v>109</v>
      </c>
      <c r="F222" s="2" t="s">
        <v>1447</v>
      </c>
      <c r="H222" s="2" t="s">
        <v>64</v>
      </c>
      <c r="I222" s="2" t="s">
        <v>1448</v>
      </c>
      <c r="J222" s="2" t="s">
        <v>1449</v>
      </c>
      <c r="L222" s="2" t="s">
        <v>43</v>
      </c>
      <c r="O222" s="2" t="s">
        <v>1450</v>
      </c>
      <c r="P222" s="2" t="s">
        <v>632</v>
      </c>
      <c r="Q222" s="2" t="s">
        <v>1451</v>
      </c>
      <c r="R222" s="2" t="s">
        <v>34</v>
      </c>
      <c r="S222" s="4" t="s">
        <v>1452</v>
      </c>
    </row>
    <row r="223">
      <c r="A223" s="3">
        <v>44781.48799314815</v>
      </c>
      <c r="B223" s="2" t="s">
        <v>23</v>
      </c>
      <c r="C223" s="2" t="s">
        <v>1453</v>
      </c>
      <c r="D223" s="2" t="s">
        <v>1454</v>
      </c>
      <c r="E223" s="2" t="s">
        <v>109</v>
      </c>
      <c r="F223" s="2" t="s">
        <v>51</v>
      </c>
      <c r="H223" s="2" t="s">
        <v>74</v>
      </c>
      <c r="I223" s="2" t="s">
        <v>145</v>
      </c>
      <c r="J223" s="2" t="s">
        <v>1455</v>
      </c>
      <c r="K223" s="2" t="s">
        <v>324</v>
      </c>
      <c r="L223" s="2" t="s">
        <v>77</v>
      </c>
      <c r="P223" s="2" t="s">
        <v>1456</v>
      </c>
      <c r="Q223" s="2" t="s">
        <v>1457</v>
      </c>
      <c r="R223" s="2" t="s">
        <v>34</v>
      </c>
      <c r="S223" s="4" t="s">
        <v>1458</v>
      </c>
    </row>
    <row r="224">
      <c r="A224" s="3">
        <v>44781.49040365741</v>
      </c>
      <c r="B224" s="2" t="s">
        <v>23</v>
      </c>
      <c r="C224" s="2" t="s">
        <v>1459</v>
      </c>
      <c r="D224" s="2" t="s">
        <v>1454</v>
      </c>
      <c r="E224" s="2" t="s">
        <v>109</v>
      </c>
      <c r="F224" s="2" t="s">
        <v>297</v>
      </c>
      <c r="H224" s="2" t="s">
        <v>122</v>
      </c>
      <c r="I224" s="2" t="s">
        <v>145</v>
      </c>
      <c r="J224" s="2" t="s">
        <v>1460</v>
      </c>
      <c r="K224" s="2" t="s">
        <v>324</v>
      </c>
      <c r="L224" s="2" t="s">
        <v>43</v>
      </c>
      <c r="O224" s="2" t="s">
        <v>1461</v>
      </c>
      <c r="Q224" s="2" t="s">
        <v>1462</v>
      </c>
      <c r="R224" s="2" t="s">
        <v>34</v>
      </c>
      <c r="S224" s="4" t="s">
        <v>1463</v>
      </c>
    </row>
    <row r="225">
      <c r="A225" s="3">
        <v>44781.49259501157</v>
      </c>
      <c r="B225" s="2" t="s">
        <v>23</v>
      </c>
      <c r="C225" s="2" t="s">
        <v>1464</v>
      </c>
      <c r="D225" s="2" t="s">
        <v>1465</v>
      </c>
      <c r="E225" s="2" t="s">
        <v>26</v>
      </c>
      <c r="H225" s="2" t="s">
        <v>122</v>
      </c>
      <c r="I225" s="2" t="s">
        <v>145</v>
      </c>
      <c r="J225" s="2" t="s">
        <v>1466</v>
      </c>
      <c r="K225" s="2" t="s">
        <v>1467</v>
      </c>
      <c r="L225" s="2" t="s">
        <v>68</v>
      </c>
      <c r="O225" s="2" t="s">
        <v>1468</v>
      </c>
      <c r="P225" s="2" t="s">
        <v>79</v>
      </c>
      <c r="R225" s="2" t="s">
        <v>185</v>
      </c>
      <c r="S225" s="4" t="s">
        <v>1469</v>
      </c>
    </row>
    <row r="226">
      <c r="A226" s="3">
        <v>44781.49442754629</v>
      </c>
      <c r="B226" s="2" t="s">
        <v>23</v>
      </c>
      <c r="C226" s="2" t="s">
        <v>1470</v>
      </c>
      <c r="D226" s="2" t="s">
        <v>1471</v>
      </c>
      <c r="E226" s="2" t="s">
        <v>26</v>
      </c>
      <c r="H226" s="2" t="s">
        <v>98</v>
      </c>
      <c r="I226" s="2" t="s">
        <v>84</v>
      </c>
      <c r="J226" s="2" t="s">
        <v>1472</v>
      </c>
      <c r="L226" s="2" t="s">
        <v>43</v>
      </c>
      <c r="N226" s="2" t="s">
        <v>87</v>
      </c>
      <c r="P226" s="2" t="s">
        <v>1473</v>
      </c>
      <c r="R226" s="2" t="s">
        <v>185</v>
      </c>
      <c r="S226" s="4" t="s">
        <v>1474</v>
      </c>
    </row>
    <row r="227">
      <c r="A227" s="3">
        <v>44781.499367349534</v>
      </c>
      <c r="B227" s="2" t="s">
        <v>23</v>
      </c>
      <c r="C227" s="2" t="s">
        <v>1475</v>
      </c>
      <c r="D227" s="2" t="s">
        <v>1471</v>
      </c>
      <c r="E227" s="2" t="s">
        <v>26</v>
      </c>
      <c r="H227" s="2" t="s">
        <v>74</v>
      </c>
      <c r="I227" s="2" t="s">
        <v>1476</v>
      </c>
      <c r="J227" s="2" t="s">
        <v>1477</v>
      </c>
      <c r="L227" s="2" t="s">
        <v>43</v>
      </c>
      <c r="N227" s="2" t="s">
        <v>87</v>
      </c>
      <c r="P227" s="2" t="s">
        <v>1478</v>
      </c>
      <c r="R227" s="2" t="s">
        <v>185</v>
      </c>
      <c r="S227" s="4" t="s">
        <v>1479</v>
      </c>
    </row>
    <row r="228">
      <c r="A228" s="3">
        <v>45577.132912256944</v>
      </c>
      <c r="B228" s="2" t="s">
        <v>23</v>
      </c>
      <c r="C228" s="2" t="s">
        <v>1480</v>
      </c>
      <c r="D228" s="2" t="s">
        <v>1481</v>
      </c>
      <c r="E228" s="2" t="s">
        <v>26</v>
      </c>
      <c r="F228" s="2" t="s">
        <v>1482</v>
      </c>
      <c r="G228" s="2" t="s">
        <v>1483</v>
      </c>
      <c r="H228" s="2" t="s">
        <v>64</v>
      </c>
      <c r="I228" s="2" t="s">
        <v>1484</v>
      </c>
      <c r="J228" s="2" t="s">
        <v>1485</v>
      </c>
      <c r="K228" s="2" t="s">
        <v>1486</v>
      </c>
      <c r="L228" s="2" t="s">
        <v>43</v>
      </c>
      <c r="M228" s="2" t="s">
        <v>1487</v>
      </c>
      <c r="N228" s="2" t="s">
        <v>972</v>
      </c>
      <c r="O228" s="2" t="s">
        <v>1488</v>
      </c>
      <c r="P228" s="2" t="s">
        <v>340</v>
      </c>
      <c r="Q228" s="2" t="s">
        <v>1489</v>
      </c>
      <c r="R228" s="2" t="s">
        <v>34</v>
      </c>
      <c r="S228" s="4" t="s">
        <v>1490</v>
      </c>
    </row>
    <row r="229">
      <c r="A229" s="3">
        <v>45474.0501665162</v>
      </c>
      <c r="B229" s="2" t="s">
        <v>23</v>
      </c>
      <c r="C229" s="2" t="s">
        <v>1491</v>
      </c>
      <c r="D229" s="2" t="s">
        <v>1492</v>
      </c>
      <c r="E229" s="2" t="s">
        <v>26</v>
      </c>
      <c r="H229" s="2" t="s">
        <v>98</v>
      </c>
      <c r="I229" s="2" t="s">
        <v>145</v>
      </c>
      <c r="J229" s="2" t="s">
        <v>1493</v>
      </c>
      <c r="K229" s="2" t="s">
        <v>67</v>
      </c>
      <c r="L229" s="2" t="s">
        <v>43</v>
      </c>
      <c r="M229" s="2" t="s">
        <v>1494</v>
      </c>
      <c r="N229" s="2" t="s">
        <v>57</v>
      </c>
      <c r="O229" s="2" t="s">
        <v>1495</v>
      </c>
      <c r="P229" s="2" t="s">
        <v>1496</v>
      </c>
      <c r="Q229" s="2" t="s">
        <v>1497</v>
      </c>
      <c r="R229" s="2" t="s">
        <v>34</v>
      </c>
      <c r="S229" s="4" t="s">
        <v>1498</v>
      </c>
    </row>
    <row r="230">
      <c r="A230" s="3">
        <v>44781.501369895836</v>
      </c>
      <c r="B230" s="2" t="s">
        <v>23</v>
      </c>
      <c r="C230" s="2" t="s">
        <v>1499</v>
      </c>
      <c r="D230" s="2" t="s">
        <v>1500</v>
      </c>
      <c r="E230" s="2" t="s">
        <v>26</v>
      </c>
      <c r="H230" s="2" t="s">
        <v>122</v>
      </c>
      <c r="I230" s="2" t="s">
        <v>145</v>
      </c>
      <c r="J230" s="2" t="s">
        <v>1501</v>
      </c>
      <c r="K230" s="2" t="s">
        <v>67</v>
      </c>
      <c r="L230" s="2" t="s">
        <v>43</v>
      </c>
      <c r="O230" s="2" t="s">
        <v>1502</v>
      </c>
      <c r="P230" s="2" t="s">
        <v>1503</v>
      </c>
      <c r="R230" s="2" t="s">
        <v>34</v>
      </c>
      <c r="S230" s="4" t="s">
        <v>1504</v>
      </c>
    </row>
    <row r="231">
      <c r="A231" s="3">
        <v>44781.502799560185</v>
      </c>
      <c r="B231" s="2" t="s">
        <v>23</v>
      </c>
      <c r="C231" s="2" t="s">
        <v>1505</v>
      </c>
      <c r="D231" s="2" t="s">
        <v>1500</v>
      </c>
      <c r="E231" s="2" t="s">
        <v>26</v>
      </c>
      <c r="H231" s="2" t="s">
        <v>122</v>
      </c>
      <c r="I231" s="2" t="s">
        <v>117</v>
      </c>
      <c r="J231" s="2" t="s">
        <v>1506</v>
      </c>
      <c r="K231" s="2" t="s">
        <v>67</v>
      </c>
      <c r="O231" s="2" t="s">
        <v>1507</v>
      </c>
      <c r="P231" s="2" t="s">
        <v>632</v>
      </c>
      <c r="Q231" s="2" t="s">
        <v>1508</v>
      </c>
      <c r="R231" s="2" t="s">
        <v>34</v>
      </c>
      <c r="S231" s="4" t="s">
        <v>1509</v>
      </c>
    </row>
    <row r="232">
      <c r="A232" s="3">
        <v>44781.5039697801</v>
      </c>
      <c r="B232" s="2" t="s">
        <v>23</v>
      </c>
      <c r="C232" s="2" t="s">
        <v>1510</v>
      </c>
      <c r="D232" s="2" t="s">
        <v>1500</v>
      </c>
      <c r="E232" s="2" t="s">
        <v>26</v>
      </c>
      <c r="H232" s="2" t="s">
        <v>122</v>
      </c>
      <c r="I232" s="2" t="s">
        <v>117</v>
      </c>
      <c r="J232" s="2" t="s">
        <v>1511</v>
      </c>
      <c r="K232" s="2" t="s">
        <v>67</v>
      </c>
      <c r="L232" s="2" t="s">
        <v>43</v>
      </c>
      <c r="O232" s="2" t="s">
        <v>1512</v>
      </c>
      <c r="P232" s="2" t="s">
        <v>1503</v>
      </c>
      <c r="R232" s="2" t="s">
        <v>34</v>
      </c>
      <c r="S232" s="4" t="s">
        <v>1513</v>
      </c>
    </row>
    <row r="233">
      <c r="A233" s="3">
        <v>44781.505527546295</v>
      </c>
      <c r="B233" s="2" t="s">
        <v>23</v>
      </c>
      <c r="C233" s="2" t="s">
        <v>1514</v>
      </c>
      <c r="D233" s="2" t="s">
        <v>1515</v>
      </c>
      <c r="E233" s="2" t="s">
        <v>26</v>
      </c>
      <c r="I233" s="2" t="s">
        <v>93</v>
      </c>
      <c r="J233" s="2" t="s">
        <v>1516</v>
      </c>
      <c r="L233" s="2" t="s">
        <v>77</v>
      </c>
      <c r="O233" s="2" t="s">
        <v>1517</v>
      </c>
      <c r="P233" s="2" t="s">
        <v>184</v>
      </c>
      <c r="Q233" s="2" t="s">
        <v>1518</v>
      </c>
      <c r="R233" s="2" t="s">
        <v>34</v>
      </c>
      <c r="S233" s="4" t="s">
        <v>1519</v>
      </c>
    </row>
    <row r="234">
      <c r="A234" s="3">
        <v>44781.50719113426</v>
      </c>
      <c r="B234" s="2" t="s">
        <v>23</v>
      </c>
      <c r="C234" s="2" t="s">
        <v>1520</v>
      </c>
      <c r="D234" s="2" t="s">
        <v>1521</v>
      </c>
      <c r="E234" s="2" t="s">
        <v>26</v>
      </c>
      <c r="F234" s="2" t="s">
        <v>234</v>
      </c>
      <c r="H234" s="2" t="s">
        <v>39</v>
      </c>
      <c r="I234" s="2" t="s">
        <v>75</v>
      </c>
      <c r="J234" s="2" t="s">
        <v>1522</v>
      </c>
      <c r="L234" s="2" t="s">
        <v>77</v>
      </c>
      <c r="O234" s="2" t="s">
        <v>1523</v>
      </c>
      <c r="Q234" s="2" t="s">
        <v>1524</v>
      </c>
      <c r="R234" s="2" t="s">
        <v>34</v>
      </c>
      <c r="S234" s="4" t="s">
        <v>1525</v>
      </c>
    </row>
    <row r="235">
      <c r="A235" s="3">
        <v>45329.97330131945</v>
      </c>
      <c r="B235" s="2" t="s">
        <v>23</v>
      </c>
      <c r="C235" s="2" t="s">
        <v>1526</v>
      </c>
      <c r="D235" s="2" t="s">
        <v>1527</v>
      </c>
      <c r="E235" s="2" t="s">
        <v>26</v>
      </c>
      <c r="G235" s="2" t="s">
        <v>1528</v>
      </c>
      <c r="H235" s="2" t="s">
        <v>122</v>
      </c>
      <c r="I235" s="2" t="s">
        <v>992</v>
      </c>
      <c r="J235" s="2" t="s">
        <v>1529</v>
      </c>
      <c r="K235" s="2" t="s">
        <v>201</v>
      </c>
      <c r="L235" s="2" t="s">
        <v>77</v>
      </c>
      <c r="M235" s="2" t="s">
        <v>1530</v>
      </c>
      <c r="N235" s="2" t="s">
        <v>45</v>
      </c>
      <c r="O235" s="2" t="s">
        <v>1531</v>
      </c>
      <c r="P235" s="2" t="s">
        <v>1532</v>
      </c>
      <c r="R235" s="2" t="s">
        <v>34</v>
      </c>
      <c r="S235" s="4" t="s">
        <v>1533</v>
      </c>
    </row>
    <row r="236">
      <c r="A236" s="3">
        <v>45357.35647773148</v>
      </c>
      <c r="B236" s="2" t="s">
        <v>23</v>
      </c>
      <c r="C236" s="2" t="s">
        <v>1534</v>
      </c>
      <c r="D236" s="2" t="s">
        <v>1535</v>
      </c>
      <c r="E236" s="2" t="s">
        <v>26</v>
      </c>
      <c r="F236" s="2" t="s">
        <v>234</v>
      </c>
      <c r="G236" s="2" t="s">
        <v>1536</v>
      </c>
      <c r="H236" s="2" t="s">
        <v>1537</v>
      </c>
      <c r="I236" s="2" t="s">
        <v>1538</v>
      </c>
      <c r="J236" s="2" t="s">
        <v>726</v>
      </c>
      <c r="L236" s="2" t="s">
        <v>43</v>
      </c>
      <c r="M236" s="2" t="s">
        <v>1539</v>
      </c>
      <c r="N236" s="2" t="s">
        <v>87</v>
      </c>
      <c r="P236" s="2" t="s">
        <v>124</v>
      </c>
      <c r="Q236" s="2" t="s">
        <v>1540</v>
      </c>
      <c r="R236" s="2" t="s">
        <v>34</v>
      </c>
      <c r="S236" s="4" t="s">
        <v>1541</v>
      </c>
    </row>
    <row r="237">
      <c r="A237" s="3">
        <v>44781.51000113426</v>
      </c>
      <c r="B237" s="2" t="s">
        <v>23</v>
      </c>
      <c r="C237" s="2" t="s">
        <v>1542</v>
      </c>
      <c r="D237" s="2" t="s">
        <v>1543</v>
      </c>
      <c r="E237" s="2" t="s">
        <v>26</v>
      </c>
      <c r="I237" s="2" t="s">
        <v>84</v>
      </c>
      <c r="J237" s="2" t="s">
        <v>1544</v>
      </c>
      <c r="L237" s="2" t="s">
        <v>77</v>
      </c>
      <c r="P237" s="2" t="s">
        <v>254</v>
      </c>
      <c r="R237" s="2" t="s">
        <v>34</v>
      </c>
      <c r="S237" s="4" t="s">
        <v>1545</v>
      </c>
    </row>
    <row r="238">
      <c r="A238" s="3">
        <v>44781.511457615736</v>
      </c>
      <c r="B238" s="2" t="s">
        <v>23</v>
      </c>
      <c r="C238" s="2" t="s">
        <v>1546</v>
      </c>
      <c r="D238" s="2" t="s">
        <v>1547</v>
      </c>
      <c r="E238" s="2" t="s">
        <v>26</v>
      </c>
      <c r="H238" s="2" t="s">
        <v>52</v>
      </c>
      <c r="I238" s="2" t="s">
        <v>84</v>
      </c>
      <c r="J238" s="2" t="s">
        <v>1548</v>
      </c>
      <c r="L238" s="2" t="s">
        <v>77</v>
      </c>
      <c r="O238" s="2" t="s">
        <v>1549</v>
      </c>
      <c r="P238" s="2" t="s">
        <v>95</v>
      </c>
      <c r="R238" s="2" t="s">
        <v>34</v>
      </c>
      <c r="S238" s="4" t="s">
        <v>1550</v>
      </c>
    </row>
    <row r="239">
      <c r="A239" s="3">
        <v>44781.51346299768</v>
      </c>
      <c r="B239" s="2" t="s">
        <v>23</v>
      </c>
      <c r="C239" s="2" t="s">
        <v>1551</v>
      </c>
      <c r="D239" s="2" t="s">
        <v>1552</v>
      </c>
      <c r="E239" s="2" t="s">
        <v>26</v>
      </c>
      <c r="H239" s="2" t="s">
        <v>98</v>
      </c>
      <c r="I239" s="2" t="s">
        <v>93</v>
      </c>
      <c r="J239" s="2" t="s">
        <v>1553</v>
      </c>
      <c r="L239" s="2" t="s">
        <v>77</v>
      </c>
      <c r="O239" s="2" t="s">
        <v>1554</v>
      </c>
      <c r="R239" s="2" t="s">
        <v>34</v>
      </c>
      <c r="S239" s="4" t="s">
        <v>1555</v>
      </c>
    </row>
    <row r="240">
      <c r="A240" s="3">
        <v>44781.515723668985</v>
      </c>
      <c r="B240" s="2" t="s">
        <v>23</v>
      </c>
      <c r="C240" s="2" t="s">
        <v>1556</v>
      </c>
      <c r="D240" s="2" t="s">
        <v>1557</v>
      </c>
      <c r="E240" s="2" t="s">
        <v>26</v>
      </c>
      <c r="H240" s="2" t="s">
        <v>98</v>
      </c>
      <c r="I240" s="2" t="s">
        <v>1558</v>
      </c>
      <c r="J240" s="2" t="s">
        <v>1559</v>
      </c>
      <c r="L240" s="2" t="s">
        <v>43</v>
      </c>
      <c r="N240" s="2" t="s">
        <v>87</v>
      </c>
      <c r="P240" s="2" t="s">
        <v>1560</v>
      </c>
      <c r="Q240" s="2" t="s">
        <v>1561</v>
      </c>
      <c r="R240" s="2" t="s">
        <v>34</v>
      </c>
      <c r="S240" s="4" t="s">
        <v>1562</v>
      </c>
    </row>
    <row r="241">
      <c r="A241" s="3">
        <v>44781.51697302083</v>
      </c>
      <c r="B241" s="2" t="s">
        <v>23</v>
      </c>
      <c r="C241" s="2" t="s">
        <v>1563</v>
      </c>
      <c r="D241" s="2" t="s">
        <v>1557</v>
      </c>
      <c r="E241" s="2" t="s">
        <v>26</v>
      </c>
      <c r="H241" s="2" t="s">
        <v>64</v>
      </c>
      <c r="I241" s="2" t="s">
        <v>93</v>
      </c>
      <c r="J241" s="2" t="s">
        <v>1564</v>
      </c>
      <c r="L241" s="2" t="s">
        <v>77</v>
      </c>
      <c r="N241" s="2" t="s">
        <v>87</v>
      </c>
      <c r="P241" s="2" t="s">
        <v>112</v>
      </c>
      <c r="Q241" s="2" t="s">
        <v>1565</v>
      </c>
      <c r="R241" s="2" t="s">
        <v>34</v>
      </c>
      <c r="S241" s="4" t="s">
        <v>1566</v>
      </c>
    </row>
    <row r="242">
      <c r="A242" s="3">
        <v>44781.51942474537</v>
      </c>
      <c r="B242" s="2" t="s">
        <v>23</v>
      </c>
      <c r="C242" s="2" t="s">
        <v>1567</v>
      </c>
      <c r="D242" s="2" t="s">
        <v>1557</v>
      </c>
      <c r="E242" s="2" t="s">
        <v>26</v>
      </c>
      <c r="I242" s="2" t="s">
        <v>750</v>
      </c>
      <c r="J242" s="2" t="s">
        <v>1568</v>
      </c>
      <c r="L242" s="2" t="s">
        <v>77</v>
      </c>
      <c r="N242" s="2" t="s">
        <v>87</v>
      </c>
      <c r="Q242" s="2" t="s">
        <v>1569</v>
      </c>
      <c r="R242" s="2" t="s">
        <v>34</v>
      </c>
      <c r="S242" s="4" t="s">
        <v>1570</v>
      </c>
    </row>
    <row r="243">
      <c r="A243" s="3">
        <v>44781.52085829861</v>
      </c>
      <c r="B243" s="2" t="s">
        <v>23</v>
      </c>
      <c r="C243" s="2" t="s">
        <v>1571</v>
      </c>
      <c r="D243" s="2" t="s">
        <v>1572</v>
      </c>
      <c r="E243" s="2" t="s">
        <v>26</v>
      </c>
      <c r="H243" s="2" t="s">
        <v>122</v>
      </c>
      <c r="I243" s="2" t="s">
        <v>145</v>
      </c>
      <c r="J243" s="2" t="s">
        <v>1573</v>
      </c>
      <c r="L243" s="2" t="s">
        <v>77</v>
      </c>
      <c r="N243" s="2" t="s">
        <v>87</v>
      </c>
      <c r="P243" s="2" t="s">
        <v>616</v>
      </c>
      <c r="R243" s="2" t="s">
        <v>34</v>
      </c>
      <c r="S243" s="4" t="s">
        <v>1574</v>
      </c>
    </row>
    <row r="244">
      <c r="A244" s="3">
        <v>44781.52185320602</v>
      </c>
      <c r="B244" s="2" t="s">
        <v>23</v>
      </c>
      <c r="C244" s="2" t="s">
        <v>1575</v>
      </c>
      <c r="D244" s="2" t="s">
        <v>1572</v>
      </c>
      <c r="E244" s="2" t="s">
        <v>26</v>
      </c>
      <c r="H244" s="2" t="s">
        <v>122</v>
      </c>
      <c r="I244" s="2" t="s">
        <v>145</v>
      </c>
      <c r="J244" s="2" t="s">
        <v>194</v>
      </c>
      <c r="L244" s="2" t="s">
        <v>77</v>
      </c>
      <c r="P244" s="2" t="s">
        <v>95</v>
      </c>
      <c r="R244" s="2" t="s">
        <v>34</v>
      </c>
      <c r="S244" s="4" t="s">
        <v>1576</v>
      </c>
    </row>
    <row r="245">
      <c r="A245" s="3">
        <v>44781.52321859954</v>
      </c>
      <c r="B245" s="2" t="s">
        <v>23</v>
      </c>
      <c r="C245" s="2" t="s">
        <v>1577</v>
      </c>
      <c r="D245" s="2" t="s">
        <v>1572</v>
      </c>
      <c r="E245" s="2" t="s">
        <v>26</v>
      </c>
      <c r="H245" s="2" t="s">
        <v>122</v>
      </c>
      <c r="I245" s="2" t="s">
        <v>84</v>
      </c>
      <c r="J245" s="2" t="s">
        <v>1578</v>
      </c>
      <c r="L245" s="2" t="s">
        <v>77</v>
      </c>
      <c r="N245" s="2" t="s">
        <v>87</v>
      </c>
      <c r="P245" s="2" t="s">
        <v>674</v>
      </c>
      <c r="R245" s="2" t="s">
        <v>34</v>
      </c>
      <c r="S245" s="4" t="s">
        <v>1579</v>
      </c>
    </row>
    <row r="246">
      <c r="A246" s="3">
        <v>44977.32571958333</v>
      </c>
      <c r="B246" s="2" t="s">
        <v>23</v>
      </c>
      <c r="C246" s="2" t="s">
        <v>1580</v>
      </c>
      <c r="D246" s="2" t="s">
        <v>1581</v>
      </c>
      <c r="E246" s="2" t="s">
        <v>133</v>
      </c>
      <c r="F246" s="2" t="s">
        <v>1582</v>
      </c>
      <c r="I246" s="2" t="s">
        <v>1583</v>
      </c>
      <c r="J246" s="2" t="s">
        <v>1584</v>
      </c>
      <c r="K246" s="2" t="s">
        <v>42</v>
      </c>
      <c r="N246" s="2" t="s">
        <v>87</v>
      </c>
      <c r="Q246" s="2" t="s">
        <v>1585</v>
      </c>
      <c r="R246" s="2" t="s">
        <v>34</v>
      </c>
      <c r="S246" s="4" t="s">
        <v>1586</v>
      </c>
    </row>
    <row r="247">
      <c r="A247" s="3">
        <v>44781.52529643518</v>
      </c>
      <c r="B247" s="2" t="s">
        <v>23</v>
      </c>
      <c r="C247" s="2" t="s">
        <v>1587</v>
      </c>
      <c r="D247" s="2" t="s">
        <v>1588</v>
      </c>
      <c r="E247" s="2" t="s">
        <v>109</v>
      </c>
      <c r="F247" s="2" t="s">
        <v>51</v>
      </c>
      <c r="H247" s="2" t="s">
        <v>98</v>
      </c>
      <c r="I247" s="2" t="s">
        <v>145</v>
      </c>
      <c r="J247" s="2" t="s">
        <v>1589</v>
      </c>
      <c r="L247" s="2" t="s">
        <v>77</v>
      </c>
      <c r="O247" s="2" t="s">
        <v>1590</v>
      </c>
      <c r="P247" s="2" t="s">
        <v>1591</v>
      </c>
      <c r="R247" s="2" t="s">
        <v>34</v>
      </c>
      <c r="S247" s="4" t="s">
        <v>1592</v>
      </c>
    </row>
    <row r="248">
      <c r="A248" s="3">
        <v>44781.52807465278</v>
      </c>
      <c r="B248" s="2" t="s">
        <v>23</v>
      </c>
      <c r="C248" s="2" t="s">
        <v>1593</v>
      </c>
      <c r="D248" s="2" t="s">
        <v>1594</v>
      </c>
      <c r="E248" s="2" t="s">
        <v>1595</v>
      </c>
      <c r="F248" s="2" t="s">
        <v>38</v>
      </c>
      <c r="G248" s="2" t="s">
        <v>1596</v>
      </c>
      <c r="H248" s="2" t="s">
        <v>27</v>
      </c>
      <c r="I248" s="2" t="s">
        <v>1597</v>
      </c>
      <c r="J248" s="2" t="s">
        <v>1598</v>
      </c>
      <c r="L248" s="2" t="s">
        <v>77</v>
      </c>
      <c r="N248" s="2" t="s">
        <v>45</v>
      </c>
      <c r="O248" s="2" t="s">
        <v>1599</v>
      </c>
      <c r="P248" s="2" t="s">
        <v>1600</v>
      </c>
      <c r="R248" s="2" t="s">
        <v>34</v>
      </c>
      <c r="S248" s="4" t="s">
        <v>1601</v>
      </c>
    </row>
    <row r="249">
      <c r="A249" s="3">
        <v>45021.56673247685</v>
      </c>
      <c r="B249" s="2" t="s">
        <v>23</v>
      </c>
      <c r="C249" s="2" t="s">
        <v>1602</v>
      </c>
      <c r="D249" s="2" t="s">
        <v>1603</v>
      </c>
      <c r="E249" s="2" t="s">
        <v>689</v>
      </c>
      <c r="G249" s="2" t="s">
        <v>1604</v>
      </c>
      <c r="H249" s="2" t="s">
        <v>98</v>
      </c>
      <c r="I249" s="2" t="s">
        <v>1605</v>
      </c>
      <c r="J249" s="2" t="s">
        <v>1606</v>
      </c>
      <c r="K249" s="2" t="s">
        <v>67</v>
      </c>
      <c r="L249" s="2" t="s">
        <v>68</v>
      </c>
      <c r="M249" s="2" t="s">
        <v>1607</v>
      </c>
      <c r="N249" s="2" t="s">
        <v>57</v>
      </c>
      <c r="O249" s="2" t="s">
        <v>1608</v>
      </c>
      <c r="P249" s="2" t="s">
        <v>1503</v>
      </c>
      <c r="Q249" s="2" t="s">
        <v>1609</v>
      </c>
      <c r="R249" s="2" t="s">
        <v>34</v>
      </c>
      <c r="S249" s="4" t="s">
        <v>1610</v>
      </c>
    </row>
    <row r="250">
      <c r="A250" s="3">
        <v>45047.03030921296</v>
      </c>
      <c r="B250" s="2" t="s">
        <v>23</v>
      </c>
      <c r="C250" s="2" t="s">
        <v>1611</v>
      </c>
      <c r="D250" s="2" t="s">
        <v>1612</v>
      </c>
      <c r="E250" s="2" t="s">
        <v>26</v>
      </c>
      <c r="F250" s="2" t="s">
        <v>1613</v>
      </c>
      <c r="G250" s="2" t="s">
        <v>1614</v>
      </c>
      <c r="H250" s="2" t="s">
        <v>1615</v>
      </c>
      <c r="I250" s="2" t="s">
        <v>1484</v>
      </c>
      <c r="J250" s="2" t="s">
        <v>1616</v>
      </c>
      <c r="K250" s="2" t="s">
        <v>1617</v>
      </c>
      <c r="L250" s="2" t="s">
        <v>55</v>
      </c>
      <c r="M250" s="2" t="s">
        <v>1618</v>
      </c>
      <c r="N250" s="2" t="s">
        <v>57</v>
      </c>
      <c r="O250" s="2" t="s">
        <v>1619</v>
      </c>
      <c r="P250" s="2" t="s">
        <v>1620</v>
      </c>
      <c r="Q250" s="2" t="s">
        <v>1621</v>
      </c>
      <c r="R250" s="2" t="s">
        <v>34</v>
      </c>
      <c r="S250" s="4" t="s">
        <v>1622</v>
      </c>
    </row>
    <row r="251">
      <c r="A251" s="3">
        <v>44781.532300879626</v>
      </c>
      <c r="B251" s="2" t="s">
        <v>23</v>
      </c>
      <c r="C251" s="2" t="s">
        <v>1623</v>
      </c>
      <c r="D251" s="2" t="s">
        <v>1624</v>
      </c>
      <c r="E251" s="2" t="s">
        <v>26</v>
      </c>
      <c r="I251" s="2" t="s">
        <v>1118</v>
      </c>
      <c r="J251" s="2" t="s">
        <v>1559</v>
      </c>
      <c r="L251" s="2" t="s">
        <v>77</v>
      </c>
      <c r="O251" s="2" t="s">
        <v>1625</v>
      </c>
      <c r="R251" s="2" t="s">
        <v>34</v>
      </c>
      <c r="S251" s="4" t="s">
        <v>1626</v>
      </c>
    </row>
    <row r="252">
      <c r="A252" s="3">
        <v>44781.53398962963</v>
      </c>
      <c r="B252" s="2" t="s">
        <v>23</v>
      </c>
      <c r="C252" s="2" t="s">
        <v>1627</v>
      </c>
      <c r="D252" s="2" t="s">
        <v>1624</v>
      </c>
      <c r="E252" s="2" t="s">
        <v>26</v>
      </c>
      <c r="H252" s="2" t="s">
        <v>122</v>
      </c>
      <c r="I252" s="2" t="s">
        <v>807</v>
      </c>
      <c r="J252" s="2" t="s">
        <v>1628</v>
      </c>
      <c r="L252" s="2" t="s">
        <v>43</v>
      </c>
      <c r="N252" s="2" t="s">
        <v>45</v>
      </c>
      <c r="O252" s="2" t="s">
        <v>1629</v>
      </c>
      <c r="P252" s="2" t="s">
        <v>104</v>
      </c>
      <c r="Q252" s="2" t="s">
        <v>1630</v>
      </c>
      <c r="R252" s="2" t="s">
        <v>34</v>
      </c>
      <c r="S252" s="4" t="s">
        <v>1631</v>
      </c>
    </row>
    <row r="253">
      <c r="A253" s="3">
        <v>44781.535683553244</v>
      </c>
      <c r="B253" s="2" t="s">
        <v>23</v>
      </c>
      <c r="C253" s="2" t="s">
        <v>1632</v>
      </c>
      <c r="D253" s="2" t="s">
        <v>1624</v>
      </c>
      <c r="E253" s="2" t="s">
        <v>26</v>
      </c>
      <c r="H253" s="2" t="s">
        <v>98</v>
      </c>
      <c r="I253" s="2" t="s">
        <v>93</v>
      </c>
      <c r="J253" s="2" t="s">
        <v>1633</v>
      </c>
      <c r="L253" s="2" t="s">
        <v>43</v>
      </c>
      <c r="O253" s="2" t="s">
        <v>1634</v>
      </c>
      <c r="R253" s="2" t="s">
        <v>34</v>
      </c>
      <c r="S253" s="4" t="s">
        <v>1635</v>
      </c>
    </row>
    <row r="254">
      <c r="A254" s="3">
        <v>44781.538397129625</v>
      </c>
      <c r="B254" s="2" t="s">
        <v>23</v>
      </c>
      <c r="C254" s="2" t="s">
        <v>1636</v>
      </c>
      <c r="D254" s="2" t="s">
        <v>1637</v>
      </c>
      <c r="E254" s="2" t="s">
        <v>26</v>
      </c>
      <c r="H254" s="2" t="s">
        <v>52</v>
      </c>
      <c r="I254" s="2" t="s">
        <v>84</v>
      </c>
      <c r="J254" s="2" t="s">
        <v>1638</v>
      </c>
      <c r="L254" s="2" t="s">
        <v>77</v>
      </c>
      <c r="N254" s="2" t="s">
        <v>87</v>
      </c>
      <c r="R254" s="2" t="s">
        <v>34</v>
      </c>
      <c r="S254" s="4" t="s">
        <v>1639</v>
      </c>
    </row>
    <row r="255">
      <c r="A255" s="3">
        <v>44781.542540173614</v>
      </c>
      <c r="B255" s="2" t="s">
        <v>23</v>
      </c>
      <c r="C255" s="2" t="s">
        <v>1640</v>
      </c>
      <c r="D255" s="2" t="s">
        <v>1641</v>
      </c>
      <c r="E255" s="2" t="s">
        <v>26</v>
      </c>
      <c r="H255" s="2" t="s">
        <v>39</v>
      </c>
      <c r="I255" s="2" t="s">
        <v>93</v>
      </c>
      <c r="J255" s="2" t="s">
        <v>1642</v>
      </c>
      <c r="L255" s="2" t="s">
        <v>77</v>
      </c>
      <c r="O255" s="2" t="s">
        <v>1643</v>
      </c>
      <c r="Q255" s="2" t="s">
        <v>1644</v>
      </c>
      <c r="R255" s="2" t="s">
        <v>34</v>
      </c>
      <c r="S255" s="4" t="s">
        <v>1645</v>
      </c>
    </row>
    <row r="256">
      <c r="A256" s="3">
        <v>44929.67824313657</v>
      </c>
      <c r="B256" s="2" t="s">
        <v>23</v>
      </c>
      <c r="C256" s="2" t="s">
        <v>1646</v>
      </c>
      <c r="D256" s="2" t="s">
        <v>1647</v>
      </c>
      <c r="E256" s="2" t="s">
        <v>26</v>
      </c>
      <c r="F256" s="2" t="s">
        <v>370</v>
      </c>
      <c r="H256" s="2" t="s">
        <v>98</v>
      </c>
      <c r="I256" s="2" t="s">
        <v>1648</v>
      </c>
      <c r="J256" s="2" t="s">
        <v>1649</v>
      </c>
      <c r="K256" s="2" t="s">
        <v>67</v>
      </c>
      <c r="L256" s="2" t="s">
        <v>43</v>
      </c>
      <c r="N256" s="2" t="s">
        <v>57</v>
      </c>
      <c r="O256" s="2" t="s">
        <v>1650</v>
      </c>
      <c r="P256" s="2" t="s">
        <v>204</v>
      </c>
      <c r="R256" s="2" t="s">
        <v>34</v>
      </c>
      <c r="S256" s="4" t="s">
        <v>1651</v>
      </c>
    </row>
    <row r="257">
      <c r="A257" s="3">
        <v>44781.54396657407</v>
      </c>
      <c r="B257" s="2" t="s">
        <v>23</v>
      </c>
      <c r="C257" s="2" t="s">
        <v>1652</v>
      </c>
      <c r="D257" s="2" t="s">
        <v>1653</v>
      </c>
      <c r="E257" s="2" t="s">
        <v>26</v>
      </c>
      <c r="H257" s="2" t="s">
        <v>52</v>
      </c>
      <c r="I257" s="2" t="s">
        <v>84</v>
      </c>
      <c r="J257" s="2" t="s">
        <v>1654</v>
      </c>
      <c r="L257" s="2" t="s">
        <v>154</v>
      </c>
      <c r="O257" s="2" t="s">
        <v>1655</v>
      </c>
      <c r="R257" s="2" t="s">
        <v>34</v>
      </c>
      <c r="S257" s="4" t="s">
        <v>1656</v>
      </c>
    </row>
    <row r="258">
      <c r="A258" s="3">
        <v>45046.30258920139</v>
      </c>
      <c r="B258" s="2" t="s">
        <v>23</v>
      </c>
      <c r="C258" s="2" t="s">
        <v>1657</v>
      </c>
      <c r="D258" s="2" t="s">
        <v>1658</v>
      </c>
      <c r="E258" s="2" t="s">
        <v>1595</v>
      </c>
      <c r="H258" s="2" t="s">
        <v>98</v>
      </c>
      <c r="I258" s="2" t="s">
        <v>322</v>
      </c>
      <c r="J258" s="2" t="s">
        <v>1659</v>
      </c>
      <c r="K258" s="2" t="s">
        <v>67</v>
      </c>
      <c r="L258" s="2" t="s">
        <v>43</v>
      </c>
      <c r="M258" s="2" t="s">
        <v>1660</v>
      </c>
      <c r="N258" s="2" t="s">
        <v>45</v>
      </c>
      <c r="O258" s="2">
        <v>1.0</v>
      </c>
      <c r="P258" s="2" t="s">
        <v>465</v>
      </c>
      <c r="Q258" s="2" t="s">
        <v>1661</v>
      </c>
      <c r="R258" s="2" t="s">
        <v>34</v>
      </c>
      <c r="S258" s="4" t="s">
        <v>1662</v>
      </c>
    </row>
    <row r="259">
      <c r="A259" s="3">
        <v>45684.446410069446</v>
      </c>
      <c r="B259" s="2" t="s">
        <v>23</v>
      </c>
      <c r="C259" s="2" t="s">
        <v>1663</v>
      </c>
      <c r="D259" s="2" t="s">
        <v>1658</v>
      </c>
      <c r="E259" s="2" t="s">
        <v>26</v>
      </c>
      <c r="F259" s="2" t="s">
        <v>264</v>
      </c>
      <c r="G259" s="2" t="s">
        <v>1664</v>
      </c>
      <c r="I259" s="2" t="s">
        <v>145</v>
      </c>
      <c r="J259" s="2" t="s">
        <v>1665</v>
      </c>
      <c r="K259" s="2" t="s">
        <v>201</v>
      </c>
      <c r="L259" s="2" t="s">
        <v>43</v>
      </c>
      <c r="M259" s="2" t="s">
        <v>1666</v>
      </c>
      <c r="P259" s="2" t="s">
        <v>632</v>
      </c>
      <c r="R259" s="2" t="s">
        <v>34</v>
      </c>
      <c r="S259" s="4" t="s">
        <v>1667</v>
      </c>
    </row>
    <row r="260">
      <c r="A260" s="3">
        <v>44906.8366039699</v>
      </c>
      <c r="B260" s="2" t="s">
        <v>23</v>
      </c>
      <c r="C260" s="2" t="s">
        <v>1668</v>
      </c>
      <c r="D260" s="2" t="s">
        <v>1669</v>
      </c>
      <c r="E260" s="2" t="s">
        <v>26</v>
      </c>
      <c r="G260" s="2" t="s">
        <v>1670</v>
      </c>
      <c r="H260" s="2" t="s">
        <v>122</v>
      </c>
      <c r="I260" s="2" t="s">
        <v>145</v>
      </c>
      <c r="J260" s="2" t="s">
        <v>1671</v>
      </c>
      <c r="K260" s="2" t="s">
        <v>42</v>
      </c>
      <c r="L260" s="2" t="s">
        <v>43</v>
      </c>
      <c r="M260" s="2" t="s">
        <v>1672</v>
      </c>
      <c r="N260" s="2" t="s">
        <v>45</v>
      </c>
      <c r="P260" s="2" t="s">
        <v>1673</v>
      </c>
      <c r="R260" s="2" t="s">
        <v>34</v>
      </c>
      <c r="S260" s="4" t="s">
        <v>1674</v>
      </c>
    </row>
    <row r="261">
      <c r="A261" s="3">
        <v>45102.14391737268</v>
      </c>
      <c r="B261" s="2" t="s">
        <v>23</v>
      </c>
      <c r="C261" s="2" t="s">
        <v>1675</v>
      </c>
      <c r="D261" s="2" t="s">
        <v>1676</v>
      </c>
      <c r="E261" s="2" t="s">
        <v>109</v>
      </c>
      <c r="F261" s="2" t="s">
        <v>51</v>
      </c>
      <c r="H261" s="2" t="s">
        <v>98</v>
      </c>
      <c r="I261" s="2" t="s">
        <v>117</v>
      </c>
      <c r="J261" s="2" t="s">
        <v>1677</v>
      </c>
      <c r="K261" s="2" t="s">
        <v>67</v>
      </c>
      <c r="L261" s="2" t="s">
        <v>77</v>
      </c>
      <c r="N261" s="2" t="s">
        <v>45</v>
      </c>
      <c r="O261" s="2" t="s">
        <v>1678</v>
      </c>
      <c r="Q261" s="2" t="s">
        <v>1679</v>
      </c>
      <c r="R261" s="2" t="s">
        <v>34</v>
      </c>
      <c r="S261" s="4" t="s">
        <v>1680</v>
      </c>
    </row>
    <row r="262">
      <c r="A262" s="3">
        <v>44781.55191934027</v>
      </c>
      <c r="B262" s="2" t="s">
        <v>23</v>
      </c>
      <c r="C262" s="2" t="s">
        <v>1681</v>
      </c>
      <c r="D262" s="2" t="s">
        <v>1682</v>
      </c>
      <c r="E262" s="2" t="s">
        <v>26</v>
      </c>
      <c r="H262" s="2" t="s">
        <v>39</v>
      </c>
      <c r="I262" s="2" t="s">
        <v>145</v>
      </c>
      <c r="J262" s="2" t="s">
        <v>1683</v>
      </c>
      <c r="L262" s="2" t="s">
        <v>77</v>
      </c>
      <c r="N262" s="2" t="s">
        <v>87</v>
      </c>
      <c r="P262" s="2" t="s">
        <v>616</v>
      </c>
      <c r="R262" s="2" t="s">
        <v>34</v>
      </c>
      <c r="S262" s="4" t="s">
        <v>1684</v>
      </c>
    </row>
    <row r="263">
      <c r="A263" s="3">
        <v>44781.55771047453</v>
      </c>
      <c r="B263" s="2" t="s">
        <v>23</v>
      </c>
      <c r="C263" s="2" t="s">
        <v>1685</v>
      </c>
      <c r="D263" s="2" t="s">
        <v>1686</v>
      </c>
      <c r="E263" s="2" t="s">
        <v>26</v>
      </c>
      <c r="I263" s="2" t="s">
        <v>1687</v>
      </c>
      <c r="J263" s="2" t="s">
        <v>1688</v>
      </c>
      <c r="L263" s="2" t="s">
        <v>43</v>
      </c>
      <c r="O263" s="2" t="s">
        <v>1689</v>
      </c>
      <c r="P263" s="2" t="s">
        <v>616</v>
      </c>
      <c r="R263" s="2" t="s">
        <v>34</v>
      </c>
      <c r="S263" s="4" t="s">
        <v>1690</v>
      </c>
    </row>
    <row r="264">
      <c r="A264" s="3">
        <v>44782.842296331015</v>
      </c>
      <c r="B264" s="2" t="s">
        <v>23</v>
      </c>
      <c r="C264" s="2" t="s">
        <v>1691</v>
      </c>
      <c r="D264" s="2" t="s">
        <v>1692</v>
      </c>
      <c r="E264" s="2" t="s">
        <v>26</v>
      </c>
      <c r="F264" s="2" t="s">
        <v>982</v>
      </c>
      <c r="G264" s="2" t="s">
        <v>1693</v>
      </c>
      <c r="H264" s="2" t="s">
        <v>98</v>
      </c>
      <c r="I264" s="2" t="s">
        <v>145</v>
      </c>
      <c r="J264" s="2" t="s">
        <v>1694</v>
      </c>
      <c r="K264" s="2" t="s">
        <v>67</v>
      </c>
      <c r="L264" s="2" t="s">
        <v>77</v>
      </c>
      <c r="N264" s="2" t="s">
        <v>87</v>
      </c>
      <c r="R264" s="2" t="s">
        <v>34</v>
      </c>
      <c r="S264" s="4" t="s">
        <v>1695</v>
      </c>
    </row>
    <row r="265">
      <c r="A265" s="3">
        <v>44868.8397425</v>
      </c>
      <c r="B265" s="2" t="s">
        <v>23</v>
      </c>
      <c r="C265" s="2" t="s">
        <v>1696</v>
      </c>
      <c r="D265" s="2" t="s">
        <v>1697</v>
      </c>
      <c r="E265" s="2" t="s">
        <v>26</v>
      </c>
      <c r="F265" s="2" t="s">
        <v>51</v>
      </c>
      <c r="G265" s="2" t="s">
        <v>1698</v>
      </c>
      <c r="H265" s="2" t="s">
        <v>74</v>
      </c>
      <c r="I265" s="2" t="s">
        <v>84</v>
      </c>
      <c r="J265" s="2" t="s">
        <v>1699</v>
      </c>
      <c r="K265" s="2" t="s">
        <v>67</v>
      </c>
      <c r="L265" s="2" t="s">
        <v>77</v>
      </c>
      <c r="N265" s="2" t="s">
        <v>45</v>
      </c>
      <c r="O265" s="2" t="s">
        <v>1700</v>
      </c>
      <c r="P265" s="2" t="s">
        <v>1701</v>
      </c>
      <c r="Q265" s="2" t="s">
        <v>1702</v>
      </c>
      <c r="R265" s="2" t="s">
        <v>34</v>
      </c>
      <c r="S265" s="4" t="s">
        <v>1703</v>
      </c>
    </row>
    <row r="266">
      <c r="A266" s="3">
        <v>44781.5624959375</v>
      </c>
      <c r="B266" s="2" t="s">
        <v>23</v>
      </c>
      <c r="C266" s="2" t="s">
        <v>1704</v>
      </c>
      <c r="D266" s="2" t="s">
        <v>1705</v>
      </c>
      <c r="E266" s="2" t="s">
        <v>26</v>
      </c>
      <c r="F266" s="2" t="s">
        <v>1706</v>
      </c>
      <c r="H266" s="2" t="s">
        <v>98</v>
      </c>
      <c r="I266" s="2" t="s">
        <v>1707</v>
      </c>
      <c r="J266" s="2" t="s">
        <v>1708</v>
      </c>
      <c r="K266" s="2" t="s">
        <v>67</v>
      </c>
      <c r="L266" s="2" t="s">
        <v>77</v>
      </c>
      <c r="N266" s="2" t="s">
        <v>45</v>
      </c>
      <c r="O266" s="2" t="s">
        <v>1709</v>
      </c>
      <c r="P266" s="2" t="s">
        <v>1710</v>
      </c>
      <c r="Q266" s="2" t="s">
        <v>1711</v>
      </c>
      <c r="R266" s="2" t="s">
        <v>34</v>
      </c>
      <c r="S266" s="4" t="s">
        <v>1712</v>
      </c>
    </row>
    <row r="267">
      <c r="A267" s="3">
        <v>44781.566561875</v>
      </c>
      <c r="B267" s="2" t="s">
        <v>23</v>
      </c>
      <c r="C267" s="2" t="s">
        <v>1713</v>
      </c>
      <c r="D267" s="2" t="s">
        <v>1714</v>
      </c>
      <c r="E267" s="2" t="s">
        <v>26</v>
      </c>
      <c r="I267" s="2" t="s">
        <v>145</v>
      </c>
      <c r="J267" s="2" t="s">
        <v>1715</v>
      </c>
      <c r="L267" s="2" t="s">
        <v>77</v>
      </c>
      <c r="O267" s="2" t="s">
        <v>1716</v>
      </c>
      <c r="P267" s="2" t="s">
        <v>254</v>
      </c>
      <c r="R267" s="2" t="s">
        <v>34</v>
      </c>
      <c r="S267" s="4" t="s">
        <v>1717</v>
      </c>
    </row>
    <row r="268">
      <c r="A268" s="3">
        <v>45071.410355555556</v>
      </c>
      <c r="B268" s="2" t="s">
        <v>23</v>
      </c>
      <c r="C268" s="2" t="s">
        <v>1718</v>
      </c>
      <c r="D268" s="2" t="s">
        <v>1719</v>
      </c>
      <c r="E268" s="2" t="s">
        <v>26</v>
      </c>
      <c r="I268" s="2" t="s">
        <v>565</v>
      </c>
      <c r="J268" s="2" t="s">
        <v>1720</v>
      </c>
      <c r="L268" s="2" t="s">
        <v>77</v>
      </c>
      <c r="N268" s="2" t="s">
        <v>972</v>
      </c>
      <c r="O268" s="2" t="s">
        <v>1721</v>
      </c>
      <c r="P268" s="2" t="s">
        <v>1722</v>
      </c>
      <c r="R268" s="2" t="s">
        <v>34</v>
      </c>
      <c r="S268" s="4" t="s">
        <v>1723</v>
      </c>
    </row>
    <row r="269">
      <c r="A269" s="3">
        <v>44782.81038285879</v>
      </c>
      <c r="B269" s="2" t="s">
        <v>23</v>
      </c>
      <c r="C269" s="2" t="s">
        <v>1724</v>
      </c>
      <c r="D269" s="2" t="s">
        <v>1725</v>
      </c>
      <c r="E269" s="2" t="s">
        <v>26</v>
      </c>
      <c r="F269" s="2" t="s">
        <v>234</v>
      </c>
      <c r="H269" s="2" t="s">
        <v>98</v>
      </c>
      <c r="I269" s="2" t="s">
        <v>75</v>
      </c>
      <c r="J269" s="2" t="s">
        <v>1726</v>
      </c>
      <c r="K269" s="2" t="s">
        <v>42</v>
      </c>
      <c r="L269" s="2" t="s">
        <v>77</v>
      </c>
      <c r="N269" s="2" t="s">
        <v>45</v>
      </c>
      <c r="O269" s="2" t="s">
        <v>1727</v>
      </c>
      <c r="R269" s="2" t="s">
        <v>34</v>
      </c>
      <c r="S269" s="4" t="s">
        <v>1728</v>
      </c>
    </row>
    <row r="270">
      <c r="A270" s="3">
        <v>44813.2172130324</v>
      </c>
      <c r="B270" s="2" t="s">
        <v>23</v>
      </c>
      <c r="C270" s="2" t="s">
        <v>1729</v>
      </c>
      <c r="D270" s="2" t="s">
        <v>1730</v>
      </c>
      <c r="E270" s="2" t="s">
        <v>26</v>
      </c>
      <c r="H270" s="2" t="s">
        <v>64</v>
      </c>
      <c r="I270" s="2" t="s">
        <v>322</v>
      </c>
      <c r="J270" s="2" t="s">
        <v>1731</v>
      </c>
      <c r="K270" s="2" t="s">
        <v>67</v>
      </c>
      <c r="L270" s="2" t="s">
        <v>43</v>
      </c>
      <c r="N270" s="2" t="s">
        <v>87</v>
      </c>
      <c r="P270" s="2" t="s">
        <v>1732</v>
      </c>
      <c r="Q270" s="2" t="s">
        <v>1733</v>
      </c>
      <c r="R270" s="2" t="s">
        <v>34</v>
      </c>
      <c r="S270" s="4" t="s">
        <v>1734</v>
      </c>
    </row>
    <row r="271">
      <c r="A271" s="3">
        <v>45313.91327453704</v>
      </c>
      <c r="B271" s="2" t="s">
        <v>23</v>
      </c>
      <c r="C271" s="2" t="s">
        <v>1735</v>
      </c>
      <c r="D271" s="2" t="s">
        <v>1736</v>
      </c>
      <c r="E271" s="2" t="s">
        <v>26</v>
      </c>
      <c r="H271" s="2" t="s">
        <v>98</v>
      </c>
      <c r="I271" s="2" t="s">
        <v>84</v>
      </c>
      <c r="J271" s="2" t="s">
        <v>1737</v>
      </c>
      <c r="K271" s="2" t="s">
        <v>67</v>
      </c>
      <c r="L271" s="2" t="s">
        <v>43</v>
      </c>
      <c r="M271" s="2" t="s">
        <v>1738</v>
      </c>
      <c r="N271" s="2" t="s">
        <v>45</v>
      </c>
      <c r="O271" s="2" t="s">
        <v>1739</v>
      </c>
      <c r="P271" s="2" t="s">
        <v>674</v>
      </c>
      <c r="R271" s="2" t="s">
        <v>34</v>
      </c>
      <c r="S271" s="4" t="s">
        <v>1740</v>
      </c>
    </row>
    <row r="272">
      <c r="A272" s="3">
        <v>45321.91467619213</v>
      </c>
      <c r="B272" s="2" t="s">
        <v>23</v>
      </c>
      <c r="C272" s="2" t="s">
        <v>1741</v>
      </c>
      <c r="D272" s="2" t="s">
        <v>1736</v>
      </c>
      <c r="E272" s="2" t="s">
        <v>26</v>
      </c>
      <c r="G272" s="2" t="s">
        <v>1742</v>
      </c>
      <c r="H272" s="2" t="s">
        <v>98</v>
      </c>
      <c r="I272" s="2" t="s">
        <v>117</v>
      </c>
      <c r="J272" s="2" t="s">
        <v>1743</v>
      </c>
      <c r="L272" s="2" t="s">
        <v>43</v>
      </c>
      <c r="M272" s="2" t="s">
        <v>1744</v>
      </c>
      <c r="N272" s="2" t="s">
        <v>45</v>
      </c>
      <c r="O272" s="2" t="s">
        <v>1745</v>
      </c>
      <c r="P272" s="2" t="s">
        <v>674</v>
      </c>
      <c r="Q272" s="2" t="s">
        <v>1746</v>
      </c>
      <c r="R272" s="2" t="s">
        <v>34</v>
      </c>
      <c r="S272" s="4" t="s">
        <v>1747</v>
      </c>
    </row>
    <row r="273">
      <c r="A273" s="3">
        <v>45446.868943113426</v>
      </c>
      <c r="B273" s="2" t="s">
        <v>23</v>
      </c>
      <c r="C273" s="2" t="s">
        <v>1748</v>
      </c>
      <c r="D273" s="2" t="s">
        <v>1736</v>
      </c>
      <c r="E273" s="2" t="s">
        <v>26</v>
      </c>
      <c r="G273" s="2" t="s">
        <v>1749</v>
      </c>
      <c r="H273" s="2" t="s">
        <v>98</v>
      </c>
      <c r="I273" s="2" t="s">
        <v>145</v>
      </c>
      <c r="J273" s="2" t="s">
        <v>1750</v>
      </c>
      <c r="K273" s="2" t="s">
        <v>67</v>
      </c>
      <c r="L273" s="2" t="s">
        <v>43</v>
      </c>
      <c r="M273" s="2" t="s">
        <v>1751</v>
      </c>
      <c r="N273" s="2" t="s">
        <v>45</v>
      </c>
      <c r="O273" s="2" t="s">
        <v>1752</v>
      </c>
      <c r="P273" s="2" t="s">
        <v>104</v>
      </c>
      <c r="R273" s="2" t="s">
        <v>34</v>
      </c>
      <c r="S273" s="4" t="s">
        <v>1753</v>
      </c>
    </row>
    <row r="274">
      <c r="A274" s="3">
        <v>45271.03833628472</v>
      </c>
      <c r="B274" s="2" t="s">
        <v>23</v>
      </c>
      <c r="C274" s="2" t="s">
        <v>1754</v>
      </c>
      <c r="D274" s="2" t="s">
        <v>1755</v>
      </c>
      <c r="E274" s="2" t="s">
        <v>26</v>
      </c>
      <c r="F274" s="2" t="s">
        <v>38</v>
      </c>
      <c r="G274" s="2" t="s">
        <v>1756</v>
      </c>
      <c r="I274" s="2" t="s">
        <v>1757</v>
      </c>
      <c r="J274" s="2" t="s">
        <v>1758</v>
      </c>
      <c r="K274" s="2" t="s">
        <v>1759</v>
      </c>
      <c r="L274" s="2" t="s">
        <v>68</v>
      </c>
      <c r="N274" s="2" t="s">
        <v>87</v>
      </c>
      <c r="P274" s="2" t="s">
        <v>88</v>
      </c>
      <c r="R274" s="2" t="s">
        <v>34</v>
      </c>
      <c r="S274" s="4" t="s">
        <v>1760</v>
      </c>
    </row>
    <row r="275">
      <c r="A275" s="3">
        <v>45474.78171336805</v>
      </c>
      <c r="B275" s="2" t="s">
        <v>23</v>
      </c>
      <c r="C275" s="2" t="s">
        <v>1761</v>
      </c>
      <c r="D275" s="2" t="s">
        <v>1762</v>
      </c>
      <c r="E275" s="2" t="s">
        <v>26</v>
      </c>
      <c r="F275" s="2" t="s">
        <v>234</v>
      </c>
      <c r="H275" s="2" t="s">
        <v>98</v>
      </c>
      <c r="I275" s="2" t="s">
        <v>145</v>
      </c>
      <c r="J275" s="2" t="s">
        <v>1763</v>
      </c>
      <c r="K275" s="2" t="s">
        <v>42</v>
      </c>
      <c r="P275" s="2" t="s">
        <v>88</v>
      </c>
      <c r="R275" s="2" t="s">
        <v>34</v>
      </c>
      <c r="S275" s="4" t="s">
        <v>1764</v>
      </c>
    </row>
    <row r="276">
      <c r="A276" s="3">
        <v>44781.56856439815</v>
      </c>
      <c r="B276" s="2" t="s">
        <v>23</v>
      </c>
      <c r="C276" s="2" t="s">
        <v>1765</v>
      </c>
      <c r="D276" s="2" t="s">
        <v>1766</v>
      </c>
      <c r="E276" s="2" t="s">
        <v>109</v>
      </c>
      <c r="F276" s="2" t="s">
        <v>51</v>
      </c>
      <c r="H276" s="2" t="s">
        <v>64</v>
      </c>
      <c r="I276" s="2" t="s">
        <v>145</v>
      </c>
      <c r="J276" s="2" t="s">
        <v>1767</v>
      </c>
      <c r="L276" s="2" t="s">
        <v>77</v>
      </c>
      <c r="Q276" s="2" t="s">
        <v>1768</v>
      </c>
      <c r="R276" s="2" t="s">
        <v>34</v>
      </c>
      <c r="S276" s="4" t="s">
        <v>1769</v>
      </c>
    </row>
    <row r="277">
      <c r="A277" s="3">
        <v>44808.87016443287</v>
      </c>
      <c r="B277" s="2" t="s">
        <v>23</v>
      </c>
      <c r="C277" s="2" t="s">
        <v>1657</v>
      </c>
      <c r="D277" s="2" t="s">
        <v>1770</v>
      </c>
      <c r="E277" s="2" t="s">
        <v>109</v>
      </c>
      <c r="F277" s="2" t="s">
        <v>51</v>
      </c>
      <c r="H277" s="2" t="s">
        <v>98</v>
      </c>
      <c r="I277" s="2" t="s">
        <v>405</v>
      </c>
      <c r="J277" s="2" t="s">
        <v>1771</v>
      </c>
      <c r="K277" s="2" t="s">
        <v>67</v>
      </c>
      <c r="L277" s="2" t="s">
        <v>77</v>
      </c>
      <c r="P277" s="2" t="s">
        <v>1772</v>
      </c>
      <c r="R277" s="2" t="s">
        <v>34</v>
      </c>
      <c r="S277" s="4" t="s">
        <v>1773</v>
      </c>
    </row>
    <row r="278">
      <c r="A278" s="3">
        <v>44781.57098553241</v>
      </c>
      <c r="B278" s="2" t="s">
        <v>23</v>
      </c>
      <c r="C278" s="2" t="s">
        <v>1774</v>
      </c>
      <c r="D278" s="2" t="s">
        <v>1775</v>
      </c>
      <c r="E278" s="2" t="s">
        <v>26</v>
      </c>
      <c r="H278" s="2" t="s">
        <v>98</v>
      </c>
      <c r="I278" s="2" t="s">
        <v>93</v>
      </c>
      <c r="J278" s="2" t="s">
        <v>1776</v>
      </c>
      <c r="L278" s="2" t="s">
        <v>43</v>
      </c>
      <c r="O278" s="2" t="s">
        <v>1777</v>
      </c>
      <c r="P278" s="2" t="s">
        <v>435</v>
      </c>
      <c r="R278" s="2" t="s">
        <v>34</v>
      </c>
      <c r="S278" s="4" t="s">
        <v>1778</v>
      </c>
    </row>
    <row r="279">
      <c r="A279" s="3">
        <v>44781.57246476852</v>
      </c>
      <c r="B279" s="2" t="s">
        <v>23</v>
      </c>
      <c r="C279" s="2" t="s">
        <v>1779</v>
      </c>
      <c r="D279" s="2" t="s">
        <v>1780</v>
      </c>
      <c r="E279" s="2" t="s">
        <v>26</v>
      </c>
      <c r="H279" s="2" t="s">
        <v>52</v>
      </c>
      <c r="I279" s="2" t="s">
        <v>1085</v>
      </c>
      <c r="J279" s="2" t="s">
        <v>1781</v>
      </c>
      <c r="L279" s="2" t="s">
        <v>43</v>
      </c>
      <c r="O279" s="2" t="s">
        <v>1782</v>
      </c>
      <c r="P279" s="2" t="s">
        <v>1783</v>
      </c>
      <c r="R279" s="2" t="s">
        <v>34</v>
      </c>
      <c r="S279" s="4" t="s">
        <v>1784</v>
      </c>
    </row>
    <row r="280">
      <c r="A280" s="3">
        <v>44781.57443748842</v>
      </c>
      <c r="B280" s="2" t="s">
        <v>23</v>
      </c>
      <c r="C280" s="2" t="s">
        <v>1785</v>
      </c>
      <c r="D280" s="2" t="s">
        <v>1780</v>
      </c>
      <c r="E280" s="2" t="s">
        <v>26</v>
      </c>
      <c r="H280" s="2" t="s">
        <v>52</v>
      </c>
      <c r="I280" s="2" t="s">
        <v>1786</v>
      </c>
      <c r="J280" s="2" t="s">
        <v>1787</v>
      </c>
      <c r="L280" s="2" t="s">
        <v>43</v>
      </c>
      <c r="P280" s="2" t="s">
        <v>1037</v>
      </c>
      <c r="Q280" s="2" t="s">
        <v>1788</v>
      </c>
      <c r="R280" s="2" t="s">
        <v>34</v>
      </c>
      <c r="S280" s="4" t="s">
        <v>1789</v>
      </c>
    </row>
    <row r="281">
      <c r="A281" s="3">
        <v>44781.577744062495</v>
      </c>
      <c r="B281" s="2" t="s">
        <v>23</v>
      </c>
      <c r="C281" s="2" t="s">
        <v>1790</v>
      </c>
      <c r="D281" s="2" t="s">
        <v>1780</v>
      </c>
      <c r="E281" s="2" t="s">
        <v>26</v>
      </c>
      <c r="H281" s="2" t="s">
        <v>52</v>
      </c>
      <c r="I281" s="2" t="s">
        <v>1791</v>
      </c>
      <c r="J281" s="2" t="s">
        <v>1792</v>
      </c>
      <c r="L281" s="2" t="s">
        <v>43</v>
      </c>
      <c r="P281" s="2" t="s">
        <v>1037</v>
      </c>
      <c r="R281" s="2" t="s">
        <v>34</v>
      </c>
      <c r="S281" s="4" t="s">
        <v>1793</v>
      </c>
    </row>
    <row r="282">
      <c r="A282" s="3">
        <v>44781.5793844213</v>
      </c>
      <c r="B282" s="2" t="s">
        <v>23</v>
      </c>
      <c r="C282" s="2" t="s">
        <v>1794</v>
      </c>
      <c r="D282" s="2" t="s">
        <v>1795</v>
      </c>
      <c r="E282" s="2" t="s">
        <v>26</v>
      </c>
      <c r="F282" s="2" t="s">
        <v>234</v>
      </c>
      <c r="I282" s="2" t="s">
        <v>84</v>
      </c>
      <c r="J282" s="2" t="s">
        <v>1796</v>
      </c>
      <c r="L282" s="2" t="s">
        <v>77</v>
      </c>
      <c r="P282" s="2" t="s">
        <v>1797</v>
      </c>
      <c r="R282" s="2" t="s">
        <v>34</v>
      </c>
      <c r="S282" s="4" t="s">
        <v>1798</v>
      </c>
    </row>
    <row r="283">
      <c r="A283" s="3">
        <v>44781.581152708335</v>
      </c>
      <c r="B283" s="2" t="s">
        <v>23</v>
      </c>
      <c r="C283" s="2" t="s">
        <v>1799</v>
      </c>
      <c r="D283" s="2" t="s">
        <v>1800</v>
      </c>
      <c r="E283" s="2" t="s">
        <v>26</v>
      </c>
      <c r="H283" s="2" t="s">
        <v>52</v>
      </c>
      <c r="I283" s="2" t="s">
        <v>84</v>
      </c>
      <c r="J283" s="2" t="s">
        <v>1801</v>
      </c>
      <c r="L283" s="2" t="s">
        <v>68</v>
      </c>
      <c r="O283" s="2" t="s">
        <v>1802</v>
      </c>
      <c r="P283" s="2" t="s">
        <v>95</v>
      </c>
      <c r="R283" s="2" t="s">
        <v>185</v>
      </c>
      <c r="S283" s="4" t="s">
        <v>1803</v>
      </c>
    </row>
    <row r="284">
      <c r="A284" s="3">
        <v>44781.58251733796</v>
      </c>
      <c r="B284" s="2" t="s">
        <v>23</v>
      </c>
      <c r="C284" s="2" t="s">
        <v>1804</v>
      </c>
      <c r="D284" s="2" t="s">
        <v>1800</v>
      </c>
      <c r="E284" s="2" t="s">
        <v>26</v>
      </c>
      <c r="I284" s="2" t="s">
        <v>75</v>
      </c>
      <c r="J284" s="2" t="s">
        <v>1805</v>
      </c>
      <c r="L284" s="2" t="s">
        <v>77</v>
      </c>
      <c r="N284" s="2" t="s">
        <v>87</v>
      </c>
      <c r="Q284" s="2" t="s">
        <v>1806</v>
      </c>
      <c r="R284" s="2" t="s">
        <v>185</v>
      </c>
      <c r="S284" s="4" t="s">
        <v>1807</v>
      </c>
    </row>
    <row r="285">
      <c r="A285" s="3">
        <v>44781.58380287037</v>
      </c>
      <c r="B285" s="2" t="s">
        <v>23</v>
      </c>
      <c r="C285" s="2" t="s">
        <v>1808</v>
      </c>
      <c r="D285" s="2" t="s">
        <v>1800</v>
      </c>
      <c r="E285" s="2" t="s">
        <v>26</v>
      </c>
      <c r="H285" s="2" t="s">
        <v>52</v>
      </c>
      <c r="I285" s="2" t="s">
        <v>84</v>
      </c>
      <c r="J285" s="2" t="s">
        <v>1809</v>
      </c>
      <c r="L285" s="2" t="s">
        <v>68</v>
      </c>
      <c r="O285" s="2" t="s">
        <v>1810</v>
      </c>
      <c r="R285" s="2" t="s">
        <v>185</v>
      </c>
      <c r="S285" s="4" t="s">
        <v>1811</v>
      </c>
    </row>
    <row r="286">
      <c r="A286" s="3">
        <v>45277.79797076389</v>
      </c>
      <c r="B286" s="2" t="s">
        <v>23</v>
      </c>
      <c r="C286" s="2" t="s">
        <v>1812</v>
      </c>
      <c r="D286" s="2" t="s">
        <v>1813</v>
      </c>
      <c r="E286" s="2" t="s">
        <v>26</v>
      </c>
      <c r="F286" s="2" t="s">
        <v>370</v>
      </c>
      <c r="H286" s="2" t="s">
        <v>122</v>
      </c>
      <c r="I286" s="2" t="s">
        <v>1814</v>
      </c>
      <c r="J286" s="2" t="s">
        <v>1815</v>
      </c>
      <c r="K286" s="2" t="s">
        <v>1816</v>
      </c>
      <c r="L286" s="2" t="s">
        <v>43</v>
      </c>
      <c r="N286" s="2" t="s">
        <v>87</v>
      </c>
      <c r="P286" s="2" t="s">
        <v>184</v>
      </c>
      <c r="R286" s="2" t="s">
        <v>34</v>
      </c>
      <c r="S286" s="4" t="s">
        <v>1817</v>
      </c>
    </row>
    <row r="287">
      <c r="A287" s="3">
        <v>44781.58541554398</v>
      </c>
      <c r="B287" s="2" t="s">
        <v>23</v>
      </c>
      <c r="C287" s="2" t="s">
        <v>1818</v>
      </c>
      <c r="D287" s="2" t="s">
        <v>1819</v>
      </c>
      <c r="E287" s="2" t="s">
        <v>26</v>
      </c>
      <c r="H287" s="2" t="s">
        <v>122</v>
      </c>
      <c r="I287" s="2" t="s">
        <v>1820</v>
      </c>
      <c r="J287" s="2" t="s">
        <v>1821</v>
      </c>
      <c r="L287" s="2" t="s">
        <v>77</v>
      </c>
      <c r="P287" s="2" t="s">
        <v>1822</v>
      </c>
      <c r="Q287" s="2" t="s">
        <v>1823</v>
      </c>
      <c r="R287" s="2" t="s">
        <v>34</v>
      </c>
      <c r="S287" s="4" t="s">
        <v>1824</v>
      </c>
    </row>
    <row r="288">
      <c r="A288" s="3">
        <v>44781.58763648148</v>
      </c>
      <c r="B288" s="2" t="s">
        <v>23</v>
      </c>
      <c r="C288" s="2" t="s">
        <v>1825</v>
      </c>
      <c r="D288" s="2" t="s">
        <v>1826</v>
      </c>
      <c r="E288" s="2" t="s">
        <v>26</v>
      </c>
      <c r="I288" s="2" t="s">
        <v>1827</v>
      </c>
      <c r="J288" s="2" t="s">
        <v>1828</v>
      </c>
      <c r="L288" s="2" t="s">
        <v>43</v>
      </c>
      <c r="O288" s="2" t="s">
        <v>1829</v>
      </c>
      <c r="P288" s="2" t="s">
        <v>1830</v>
      </c>
      <c r="R288" s="2" t="s">
        <v>34</v>
      </c>
      <c r="S288" s="4" t="s">
        <v>1831</v>
      </c>
    </row>
    <row r="289">
      <c r="A289" s="3">
        <v>44781.58903916666</v>
      </c>
      <c r="B289" s="2" t="s">
        <v>23</v>
      </c>
      <c r="C289" s="2" t="s">
        <v>1832</v>
      </c>
      <c r="D289" s="2" t="s">
        <v>1826</v>
      </c>
      <c r="E289" s="2" t="s">
        <v>26</v>
      </c>
      <c r="I289" s="2" t="s">
        <v>1833</v>
      </c>
      <c r="J289" s="2" t="s">
        <v>1834</v>
      </c>
      <c r="L289" s="2" t="s">
        <v>43</v>
      </c>
      <c r="O289" s="2" t="s">
        <v>1835</v>
      </c>
      <c r="P289" s="2" t="s">
        <v>1836</v>
      </c>
      <c r="R289" s="2" t="s">
        <v>34</v>
      </c>
      <c r="S289" s="4" t="s">
        <v>1837</v>
      </c>
    </row>
    <row r="290">
      <c r="A290" s="3">
        <v>44977.32988819444</v>
      </c>
      <c r="B290" s="2" t="s">
        <v>23</v>
      </c>
      <c r="C290" s="2" t="s">
        <v>1838</v>
      </c>
      <c r="D290" s="2" t="s">
        <v>1839</v>
      </c>
      <c r="E290" s="2" t="s">
        <v>26</v>
      </c>
      <c r="F290" s="2" t="s">
        <v>982</v>
      </c>
      <c r="G290" s="2" t="s">
        <v>1840</v>
      </c>
      <c r="H290" s="2" t="s">
        <v>39</v>
      </c>
      <c r="I290" s="2" t="s">
        <v>1841</v>
      </c>
      <c r="J290" s="2" t="s">
        <v>1842</v>
      </c>
      <c r="K290" s="2" t="s">
        <v>1467</v>
      </c>
      <c r="L290" s="2" t="s">
        <v>43</v>
      </c>
      <c r="M290" s="2" t="s">
        <v>1843</v>
      </c>
      <c r="N290" s="2" t="s">
        <v>45</v>
      </c>
      <c r="O290" s="2" t="s">
        <v>1844</v>
      </c>
      <c r="Q290" s="2" t="s">
        <v>1845</v>
      </c>
      <c r="R290" s="2" t="s">
        <v>34</v>
      </c>
      <c r="S290" s="4" t="s">
        <v>1846</v>
      </c>
    </row>
    <row r="291">
      <c r="A291" s="3">
        <v>44781.61102966435</v>
      </c>
      <c r="B291" s="2" t="s">
        <v>23</v>
      </c>
      <c r="C291" s="2" t="s">
        <v>1847</v>
      </c>
      <c r="D291" s="2" t="s">
        <v>1848</v>
      </c>
      <c r="E291" s="2" t="s">
        <v>26</v>
      </c>
      <c r="H291" s="2" t="s">
        <v>39</v>
      </c>
      <c r="I291" s="2" t="s">
        <v>93</v>
      </c>
      <c r="J291" s="2" t="s">
        <v>1849</v>
      </c>
      <c r="L291" s="2" t="s">
        <v>43</v>
      </c>
      <c r="O291" s="2" t="s">
        <v>1850</v>
      </c>
      <c r="P291" s="2" t="s">
        <v>1851</v>
      </c>
      <c r="R291" s="2" t="s">
        <v>34</v>
      </c>
      <c r="S291" s="4" t="s">
        <v>1852</v>
      </c>
    </row>
    <row r="292">
      <c r="A292" s="3">
        <v>45169.10235122685</v>
      </c>
      <c r="B292" s="2" t="s">
        <v>23</v>
      </c>
      <c r="C292" s="2" t="s">
        <v>1853</v>
      </c>
      <c r="D292" s="2" t="s">
        <v>1854</v>
      </c>
      <c r="E292" s="2" t="s">
        <v>26</v>
      </c>
      <c r="F292" s="2" t="s">
        <v>51</v>
      </c>
      <c r="H292" s="2" t="s">
        <v>98</v>
      </c>
      <c r="I292" s="2" t="s">
        <v>1855</v>
      </c>
      <c r="J292" s="2" t="s">
        <v>1856</v>
      </c>
      <c r="K292" s="2" t="s">
        <v>67</v>
      </c>
      <c r="L292" s="2" t="s">
        <v>43</v>
      </c>
      <c r="M292" s="2" t="s">
        <v>1857</v>
      </c>
      <c r="N292" s="2" t="s">
        <v>45</v>
      </c>
      <c r="O292" s="2" t="s">
        <v>1858</v>
      </c>
      <c r="P292" s="2" t="s">
        <v>1859</v>
      </c>
      <c r="Q292" s="2" t="s">
        <v>1860</v>
      </c>
      <c r="R292" s="2" t="s">
        <v>34</v>
      </c>
      <c r="S292" s="4" t="s">
        <v>1861</v>
      </c>
    </row>
    <row r="293">
      <c r="A293" s="3">
        <v>44781.61426447917</v>
      </c>
      <c r="B293" s="2" t="s">
        <v>23</v>
      </c>
      <c r="C293" s="2" t="s">
        <v>1862</v>
      </c>
      <c r="D293" s="2" t="s">
        <v>1863</v>
      </c>
      <c r="E293" s="2" t="s">
        <v>26</v>
      </c>
      <c r="H293" s="2" t="s">
        <v>122</v>
      </c>
      <c r="I293" s="2" t="s">
        <v>145</v>
      </c>
      <c r="J293" s="2" t="s">
        <v>1864</v>
      </c>
      <c r="L293" s="2" t="s">
        <v>77</v>
      </c>
      <c r="N293" s="2" t="s">
        <v>87</v>
      </c>
      <c r="P293" s="2" t="s">
        <v>1865</v>
      </c>
      <c r="R293" s="2" t="s">
        <v>34</v>
      </c>
      <c r="S293" s="4" t="s">
        <v>1866</v>
      </c>
    </row>
    <row r="294">
      <c r="A294" s="3">
        <v>45200.70363694444</v>
      </c>
      <c r="B294" s="2" t="s">
        <v>23</v>
      </c>
      <c r="C294" s="2" t="s">
        <v>1867</v>
      </c>
      <c r="D294" s="2" t="s">
        <v>1868</v>
      </c>
      <c r="E294" s="2" t="s">
        <v>26</v>
      </c>
      <c r="H294" s="2" t="s">
        <v>122</v>
      </c>
      <c r="I294" s="2" t="s">
        <v>1869</v>
      </c>
      <c r="J294" s="2" t="s">
        <v>1870</v>
      </c>
      <c r="K294" s="2" t="s">
        <v>42</v>
      </c>
      <c r="L294" s="2" t="s">
        <v>77</v>
      </c>
      <c r="M294" s="2" t="s">
        <v>1871</v>
      </c>
      <c r="R294" s="2" t="s">
        <v>34</v>
      </c>
      <c r="S294" s="4" t="s">
        <v>1872</v>
      </c>
    </row>
    <row r="295">
      <c r="A295" s="3">
        <v>44781.616585578704</v>
      </c>
      <c r="B295" s="2" t="s">
        <v>23</v>
      </c>
      <c r="C295" s="2" t="s">
        <v>1873</v>
      </c>
      <c r="D295" s="2" t="s">
        <v>1874</v>
      </c>
      <c r="E295" s="2" t="s">
        <v>26</v>
      </c>
      <c r="F295" s="2" t="s">
        <v>1875</v>
      </c>
      <c r="I295" s="2" t="s">
        <v>1876</v>
      </c>
      <c r="J295" s="2" t="s">
        <v>1877</v>
      </c>
      <c r="L295" s="2" t="s">
        <v>43</v>
      </c>
      <c r="N295" s="2" t="s">
        <v>87</v>
      </c>
      <c r="P295" s="2" t="s">
        <v>1878</v>
      </c>
      <c r="Q295" s="2" t="s">
        <v>1879</v>
      </c>
      <c r="R295" s="2" t="s">
        <v>34</v>
      </c>
      <c r="S295" s="4" t="s">
        <v>1880</v>
      </c>
    </row>
    <row r="296">
      <c r="A296" s="3">
        <v>44781.619286817135</v>
      </c>
      <c r="B296" s="2" t="s">
        <v>23</v>
      </c>
      <c r="C296" s="2" t="s">
        <v>1881</v>
      </c>
      <c r="D296" s="2" t="s">
        <v>1882</v>
      </c>
      <c r="E296" s="2" t="s">
        <v>26</v>
      </c>
      <c r="H296" s="2" t="s">
        <v>64</v>
      </c>
      <c r="I296" s="2" t="s">
        <v>661</v>
      </c>
      <c r="J296" s="2" t="s">
        <v>1883</v>
      </c>
      <c r="L296" s="2" t="s">
        <v>68</v>
      </c>
      <c r="N296" s="2" t="s">
        <v>87</v>
      </c>
      <c r="P296" s="2" t="s">
        <v>1884</v>
      </c>
      <c r="R296" s="2" t="s">
        <v>34</v>
      </c>
      <c r="S296" s="4" t="s">
        <v>1885</v>
      </c>
    </row>
    <row r="297">
      <c r="A297" s="3">
        <v>44781.62101633102</v>
      </c>
      <c r="B297" s="2" t="s">
        <v>23</v>
      </c>
      <c r="C297" s="2" t="s">
        <v>1886</v>
      </c>
      <c r="D297" s="2" t="s">
        <v>1887</v>
      </c>
      <c r="E297" s="2" t="s">
        <v>26</v>
      </c>
      <c r="H297" s="2" t="s">
        <v>122</v>
      </c>
      <c r="I297" s="2" t="s">
        <v>603</v>
      </c>
      <c r="J297" s="2" t="s">
        <v>854</v>
      </c>
      <c r="L297" s="2" t="s">
        <v>43</v>
      </c>
      <c r="O297" s="2" t="s">
        <v>1888</v>
      </c>
      <c r="P297" s="2" t="s">
        <v>1772</v>
      </c>
      <c r="R297" s="2" t="s">
        <v>34</v>
      </c>
      <c r="S297" s="4" t="s">
        <v>1889</v>
      </c>
    </row>
    <row r="298">
      <c r="A298" s="3">
        <v>44781.62219436343</v>
      </c>
      <c r="B298" s="2" t="s">
        <v>23</v>
      </c>
      <c r="C298" s="2" t="s">
        <v>1890</v>
      </c>
      <c r="D298" s="2" t="s">
        <v>1887</v>
      </c>
      <c r="E298" s="2" t="s">
        <v>26</v>
      </c>
      <c r="H298" s="2" t="s">
        <v>74</v>
      </c>
      <c r="I298" s="2" t="s">
        <v>807</v>
      </c>
      <c r="J298" s="2" t="s">
        <v>1891</v>
      </c>
      <c r="L298" s="2" t="s">
        <v>55</v>
      </c>
      <c r="O298" s="2" t="s">
        <v>1892</v>
      </c>
      <c r="P298" s="2" t="s">
        <v>401</v>
      </c>
      <c r="R298" s="2" t="s">
        <v>34</v>
      </c>
      <c r="S298" s="4" t="s">
        <v>1893</v>
      </c>
    </row>
    <row r="299">
      <c r="A299" s="3"/>
    </row>
    <row r="300">
      <c r="A300" s="3"/>
    </row>
    <row r="301">
      <c r="A301" s="3">
        <v>45200.69818543982</v>
      </c>
      <c r="B301" s="2" t="s">
        <v>1894</v>
      </c>
      <c r="T301" s="2" t="s">
        <v>1895</v>
      </c>
      <c r="U301" s="2" t="s">
        <v>1896</v>
      </c>
    </row>
    <row r="302">
      <c r="A302" s="3">
        <v>45200.70008846065</v>
      </c>
      <c r="B302" s="2" t="s">
        <v>1894</v>
      </c>
      <c r="T302" s="2" t="s">
        <v>1897</v>
      </c>
      <c r="U302" s="2" t="s">
        <v>1896</v>
      </c>
    </row>
    <row r="303">
      <c r="A303" s="3"/>
    </row>
    <row r="304">
      <c r="A304" s="3"/>
    </row>
    <row r="305">
      <c r="A305" s="3">
        <v>45732.77135949074</v>
      </c>
      <c r="B305" s="2" t="s">
        <v>23</v>
      </c>
      <c r="C305" s="2" t="s">
        <v>1898</v>
      </c>
      <c r="D305" s="2" t="s">
        <v>1899</v>
      </c>
      <c r="E305" s="2" t="s">
        <v>26</v>
      </c>
      <c r="H305" s="2" t="s">
        <v>64</v>
      </c>
      <c r="I305" s="2" t="s">
        <v>565</v>
      </c>
      <c r="J305" s="2" t="s">
        <v>1900</v>
      </c>
      <c r="L305" s="2" t="s">
        <v>77</v>
      </c>
      <c r="N305" s="2" t="s">
        <v>57</v>
      </c>
      <c r="R305" s="2" t="s">
        <v>34</v>
      </c>
    </row>
    <row r="306">
      <c r="A306" s="3">
        <v>45738.083707094906</v>
      </c>
      <c r="B306" s="2" t="s">
        <v>23</v>
      </c>
      <c r="C306" s="2" t="s">
        <v>1901</v>
      </c>
      <c r="D306" s="2" t="s">
        <v>1902</v>
      </c>
      <c r="E306" s="2" t="s">
        <v>109</v>
      </c>
      <c r="F306" s="2" t="s">
        <v>297</v>
      </c>
      <c r="G306" s="2" t="s">
        <v>1903</v>
      </c>
      <c r="H306" s="2" t="s">
        <v>98</v>
      </c>
      <c r="I306" s="2" t="s">
        <v>117</v>
      </c>
      <c r="J306" s="2" t="s">
        <v>1904</v>
      </c>
      <c r="K306" s="2" t="s">
        <v>67</v>
      </c>
      <c r="L306" s="2" t="s">
        <v>43</v>
      </c>
      <c r="N306" s="2" t="s">
        <v>87</v>
      </c>
      <c r="P306" s="2" t="s">
        <v>984</v>
      </c>
      <c r="Q306" s="2" t="s">
        <v>1905</v>
      </c>
      <c r="R306" s="2" t="s">
        <v>34</v>
      </c>
      <c r="S306" s="4" t="s">
        <v>1906</v>
      </c>
    </row>
    <row r="307">
      <c r="A307" s="3">
        <v>45740.05065337963</v>
      </c>
      <c r="B307" s="2" t="s">
        <v>23</v>
      </c>
      <c r="C307" s="2" t="s">
        <v>1907</v>
      </c>
      <c r="D307" s="2" t="s">
        <v>1908</v>
      </c>
      <c r="E307" s="2" t="s">
        <v>109</v>
      </c>
      <c r="G307" s="2" t="s">
        <v>1909</v>
      </c>
      <c r="H307" s="2" t="s">
        <v>98</v>
      </c>
      <c r="I307" s="2" t="s">
        <v>145</v>
      </c>
      <c r="J307" s="2" t="s">
        <v>1910</v>
      </c>
      <c r="K307" s="2" t="s">
        <v>67</v>
      </c>
      <c r="L307" s="2" t="s">
        <v>43</v>
      </c>
      <c r="M307" s="2" t="s">
        <v>1911</v>
      </c>
      <c r="N307" s="2" t="s">
        <v>45</v>
      </c>
      <c r="O307" s="2" t="s">
        <v>1912</v>
      </c>
      <c r="P307" s="2" t="s">
        <v>1913</v>
      </c>
      <c r="Q307" s="2" t="s">
        <v>1914</v>
      </c>
      <c r="R307" s="2" t="s">
        <v>34</v>
      </c>
      <c r="S307" s="4" t="s">
        <v>1915</v>
      </c>
    </row>
    <row r="308">
      <c r="A308" s="3">
        <v>45753.6231021875</v>
      </c>
      <c r="B308" s="2" t="s">
        <v>23</v>
      </c>
      <c r="C308" s="2" t="s">
        <v>1916</v>
      </c>
      <c r="D308" s="2" t="s">
        <v>1917</v>
      </c>
      <c r="E308" s="2" t="s">
        <v>26</v>
      </c>
      <c r="G308" s="2" t="s">
        <v>1918</v>
      </c>
      <c r="H308" s="2" t="s">
        <v>122</v>
      </c>
      <c r="I308" s="2" t="s">
        <v>1919</v>
      </c>
      <c r="J308" s="2" t="s">
        <v>1920</v>
      </c>
      <c r="K308" s="2" t="s">
        <v>1921</v>
      </c>
      <c r="L308" s="2" t="s">
        <v>77</v>
      </c>
      <c r="M308" s="2" t="s">
        <v>1922</v>
      </c>
      <c r="N308" s="2" t="s">
        <v>45</v>
      </c>
      <c r="O308" s="2" t="s">
        <v>1923</v>
      </c>
      <c r="P308" s="2" t="s">
        <v>254</v>
      </c>
      <c r="Q308" s="2" t="s">
        <v>1924</v>
      </c>
      <c r="R308" s="2" t="s">
        <v>34</v>
      </c>
      <c r="S308" s="4" t="s">
        <v>1925</v>
      </c>
    </row>
    <row r="309">
      <c r="A309" s="3">
        <v>45753.62538681713</v>
      </c>
      <c r="B309" s="2" t="s">
        <v>23</v>
      </c>
      <c r="C309" s="2" t="s">
        <v>1926</v>
      </c>
      <c r="D309" s="2" t="s">
        <v>1927</v>
      </c>
      <c r="E309" s="2" t="s">
        <v>109</v>
      </c>
      <c r="F309" s="2" t="s">
        <v>51</v>
      </c>
      <c r="G309" s="2" t="s">
        <v>1928</v>
      </c>
      <c r="H309" s="2" t="s">
        <v>122</v>
      </c>
      <c r="I309" s="2" t="s">
        <v>145</v>
      </c>
      <c r="J309" s="2" t="s">
        <v>1929</v>
      </c>
      <c r="K309" s="2" t="s">
        <v>67</v>
      </c>
      <c r="L309" s="2" t="s">
        <v>43</v>
      </c>
      <c r="M309" s="2" t="s">
        <v>416</v>
      </c>
      <c r="N309" s="2" t="s">
        <v>57</v>
      </c>
      <c r="O309" s="2" t="s">
        <v>1930</v>
      </c>
      <c r="P309" s="2" t="s">
        <v>1913</v>
      </c>
      <c r="Q309" s="2" t="s">
        <v>1931</v>
      </c>
      <c r="R309" s="2" t="s">
        <v>34</v>
      </c>
      <c r="S309" s="4" t="s">
        <v>1932</v>
      </c>
    </row>
    <row r="310">
      <c r="A310" s="3">
        <v>45753.62811315972</v>
      </c>
      <c r="B310" s="2" t="s">
        <v>23</v>
      </c>
      <c r="C310" s="2" t="s">
        <v>1933</v>
      </c>
      <c r="D310" s="2" t="s">
        <v>1934</v>
      </c>
      <c r="E310" s="2" t="s">
        <v>109</v>
      </c>
      <c r="F310" s="2" t="s">
        <v>1935</v>
      </c>
      <c r="G310" s="2" t="s">
        <v>1936</v>
      </c>
      <c r="H310" s="2" t="s">
        <v>122</v>
      </c>
      <c r="I310" s="2" t="s">
        <v>145</v>
      </c>
      <c r="J310" s="2" t="s">
        <v>1937</v>
      </c>
      <c r="K310" s="2" t="s">
        <v>67</v>
      </c>
      <c r="L310" s="2" t="s">
        <v>55</v>
      </c>
      <c r="M310" s="2" t="s">
        <v>1938</v>
      </c>
      <c r="N310" s="2" t="s">
        <v>57</v>
      </c>
      <c r="O310" s="2" t="s">
        <v>1939</v>
      </c>
      <c r="P310" s="2" t="s">
        <v>1940</v>
      </c>
      <c r="Q310" s="2" t="s">
        <v>1941</v>
      </c>
      <c r="R310" s="2" t="s">
        <v>34</v>
      </c>
      <c r="S310" s="4" t="s">
        <v>1942</v>
      </c>
    </row>
    <row r="311">
      <c r="A311" s="3">
        <v>45754.00933502315</v>
      </c>
      <c r="B311" s="2" t="s">
        <v>23</v>
      </c>
      <c r="C311" s="2" t="s">
        <v>1943</v>
      </c>
      <c r="D311" s="2" t="s">
        <v>1944</v>
      </c>
      <c r="E311" s="2" t="s">
        <v>26</v>
      </c>
      <c r="F311" s="2" t="s">
        <v>1945</v>
      </c>
      <c r="H311" s="2" t="s">
        <v>122</v>
      </c>
      <c r="I311" s="2" t="s">
        <v>1085</v>
      </c>
      <c r="J311" s="2" t="s">
        <v>1946</v>
      </c>
      <c r="L311" s="2" t="s">
        <v>43</v>
      </c>
      <c r="P311" s="2" t="s">
        <v>1947</v>
      </c>
      <c r="Q311" s="2" t="s">
        <v>1948</v>
      </c>
      <c r="R311" s="2" t="s">
        <v>34</v>
      </c>
    </row>
  </sheetData>
  <autoFilter ref="$A$1:$AC$311">
    <sortState ref="A1:AC311">
      <sortCondition ref="D1:D311"/>
      <sortCondition ref="A1:A311"/>
    </sortState>
  </autoFilter>
  <hyperlinks>
    <hyperlink r:id="rId2" ref="S2"/>
    <hyperlink r:id="rId3" ref="S3"/>
    <hyperlink r:id="rId4" ref="S4"/>
    <hyperlink r:id="rId5" ref="S5"/>
    <hyperlink r:id="rId6" ref="S6"/>
    <hyperlink r:id="rId7" ref="S7"/>
    <hyperlink r:id="rId8" ref="S8"/>
    <hyperlink r:id="rId9" ref="S9"/>
    <hyperlink r:id="rId10" ref="S10"/>
    <hyperlink r:id="rId11" ref="S11"/>
    <hyperlink r:id="rId12" ref="S12"/>
    <hyperlink r:id="rId13" ref="S13"/>
    <hyperlink r:id="rId14" ref="S14"/>
    <hyperlink r:id="rId15" ref="S15"/>
    <hyperlink r:id="rId16" ref="S16"/>
    <hyperlink r:id="rId17" ref="S17"/>
    <hyperlink r:id="rId18" ref="S18"/>
    <hyperlink r:id="rId19" ref="S19"/>
    <hyperlink r:id="rId20" ref="S20"/>
    <hyperlink r:id="rId21" ref="S21"/>
    <hyperlink r:id="rId22" ref="S22"/>
    <hyperlink r:id="rId23" ref="S23"/>
    <hyperlink r:id="rId24" ref="S24"/>
    <hyperlink r:id="rId25" ref="S25"/>
    <hyperlink r:id="rId26" ref="S26"/>
    <hyperlink r:id="rId27" ref="S27"/>
    <hyperlink r:id="rId28" ref="S28"/>
    <hyperlink r:id="rId29" ref="S29"/>
    <hyperlink r:id="rId30" ref="S30"/>
    <hyperlink r:id="rId31" ref="S31"/>
    <hyperlink r:id="rId32" ref="S32"/>
    <hyperlink r:id="rId33" ref="S33"/>
    <hyperlink r:id="rId34" ref="S34"/>
    <hyperlink r:id="rId35" ref="S35"/>
    <hyperlink r:id="rId36" ref="S36"/>
    <hyperlink r:id="rId37" ref="S37"/>
    <hyperlink r:id="rId38" ref="S38"/>
    <hyperlink r:id="rId39" ref="S39"/>
    <hyperlink r:id="rId40" ref="S40"/>
    <hyperlink r:id="rId41" ref="S41"/>
    <hyperlink r:id="rId42" ref="S42"/>
    <hyperlink r:id="rId43" ref="S43"/>
    <hyperlink r:id="rId44" ref="S44"/>
    <hyperlink r:id="rId45" ref="S45"/>
    <hyperlink r:id="rId46" ref="S46"/>
    <hyperlink r:id="rId47" ref="S47"/>
    <hyperlink r:id="rId48" ref="S48"/>
    <hyperlink r:id="rId49" ref="S49"/>
    <hyperlink r:id="rId50" ref="S50"/>
    <hyperlink r:id="rId51" ref="S51"/>
    <hyperlink r:id="rId52" ref="S52"/>
    <hyperlink r:id="rId53" ref="S53"/>
    <hyperlink r:id="rId54" ref="S54"/>
    <hyperlink r:id="rId55" ref="S55"/>
    <hyperlink r:id="rId56" ref="S56"/>
    <hyperlink r:id="rId57" ref="S57"/>
    <hyperlink r:id="rId58" ref="S58"/>
    <hyperlink r:id="rId59" ref="S59"/>
    <hyperlink r:id="rId60" ref="S60"/>
    <hyperlink r:id="rId61" ref="S61"/>
    <hyperlink r:id="rId62" ref="S62"/>
    <hyperlink r:id="rId63" ref="S63"/>
    <hyperlink r:id="rId64" ref="S64"/>
    <hyperlink r:id="rId65" ref="S65"/>
    <hyperlink r:id="rId66" ref="S66"/>
    <hyperlink r:id="rId67" ref="S67"/>
    <hyperlink r:id="rId68" ref="S68"/>
    <hyperlink r:id="rId69" ref="S69"/>
    <hyperlink r:id="rId70" ref="S70"/>
    <hyperlink r:id="rId71" ref="S71"/>
    <hyperlink r:id="rId72" ref="S72"/>
    <hyperlink r:id="rId73" ref="S73"/>
    <hyperlink r:id="rId74" ref="S75"/>
    <hyperlink r:id="rId75" ref="S76"/>
    <hyperlink r:id="rId76" ref="S77"/>
    <hyperlink r:id="rId77" ref="S78"/>
    <hyperlink r:id="rId78" ref="S79"/>
    <hyperlink r:id="rId79" ref="S80"/>
    <hyperlink r:id="rId80" ref="S81"/>
    <hyperlink r:id="rId81" ref="S82"/>
    <hyperlink r:id="rId82" ref="S83"/>
    <hyperlink r:id="rId83" ref="S84"/>
    <hyperlink r:id="rId84" ref="S85"/>
    <hyperlink r:id="rId85" ref="S86"/>
    <hyperlink r:id="rId86" ref="S87"/>
    <hyperlink r:id="rId87" ref="S88"/>
    <hyperlink r:id="rId88" ref="S89"/>
    <hyperlink r:id="rId89" ref="S90"/>
    <hyperlink r:id="rId90" ref="S91"/>
    <hyperlink r:id="rId91" ref="S92"/>
    <hyperlink r:id="rId92" ref="S93"/>
    <hyperlink r:id="rId93" ref="S94"/>
    <hyperlink r:id="rId94" ref="S95"/>
    <hyperlink r:id="rId95" ref="S96"/>
    <hyperlink r:id="rId96" ref="S97"/>
    <hyperlink r:id="rId97" ref="S98"/>
    <hyperlink r:id="rId98" ref="S99"/>
    <hyperlink r:id="rId99" ref="S100"/>
    <hyperlink r:id="rId100" ref="S101"/>
    <hyperlink r:id="rId101" ref="S102"/>
    <hyperlink r:id="rId102" ref="S103"/>
    <hyperlink r:id="rId103" ref="S104"/>
    <hyperlink r:id="rId104" ref="S105"/>
    <hyperlink r:id="rId105" ref="S106"/>
    <hyperlink r:id="rId106" ref="S107"/>
    <hyperlink r:id="rId107" ref="S108"/>
    <hyperlink r:id="rId108" ref="S109"/>
    <hyperlink r:id="rId109" ref="S110"/>
    <hyperlink r:id="rId110" ref="S111"/>
    <hyperlink r:id="rId111" ref="S112"/>
    <hyperlink r:id="rId112" ref="S113"/>
    <hyperlink r:id="rId113" ref="S114"/>
    <hyperlink r:id="rId114" ref="S115"/>
    <hyperlink r:id="rId115" ref="S116"/>
    <hyperlink r:id="rId116" ref="S117"/>
    <hyperlink r:id="rId117" ref="S118"/>
    <hyperlink r:id="rId118" ref="S119"/>
    <hyperlink r:id="rId119" ref="S120"/>
    <hyperlink r:id="rId120" ref="S121"/>
    <hyperlink r:id="rId121" ref="S122"/>
    <hyperlink r:id="rId122" ref="S123"/>
    <hyperlink r:id="rId123" ref="S124"/>
    <hyperlink r:id="rId124" ref="S125"/>
    <hyperlink r:id="rId125" ref="S126"/>
    <hyperlink r:id="rId126" ref="S127"/>
    <hyperlink r:id="rId127" ref="S128"/>
    <hyperlink r:id="rId128" ref="S129"/>
    <hyperlink r:id="rId129" ref="S130"/>
    <hyperlink r:id="rId130" ref="S131"/>
    <hyperlink r:id="rId131" ref="S132"/>
    <hyperlink r:id="rId132" ref="S133"/>
    <hyperlink r:id="rId133" ref="S134"/>
    <hyperlink r:id="rId134" ref="S135"/>
    <hyperlink r:id="rId135" ref="S136"/>
    <hyperlink r:id="rId136" ref="S137"/>
    <hyperlink r:id="rId137" ref="S138"/>
    <hyperlink r:id="rId138" ref="S139"/>
    <hyperlink r:id="rId139" ref="S140"/>
    <hyperlink r:id="rId140" ref="S141"/>
    <hyperlink r:id="rId141" ref="S142"/>
    <hyperlink r:id="rId142" ref="S143"/>
    <hyperlink r:id="rId143" ref="S144"/>
    <hyperlink r:id="rId144" ref="S145"/>
    <hyperlink r:id="rId145" ref="S146"/>
    <hyperlink r:id="rId146" ref="S147"/>
    <hyperlink r:id="rId147" ref="S148"/>
    <hyperlink r:id="rId148" ref="S149"/>
    <hyperlink r:id="rId149" ref="S150"/>
    <hyperlink r:id="rId150" ref="S151"/>
    <hyperlink r:id="rId151" ref="S152"/>
    <hyperlink r:id="rId152" ref="S153"/>
    <hyperlink r:id="rId153" ref="S154"/>
    <hyperlink r:id="rId154" ref="S155"/>
    <hyperlink r:id="rId155" ref="S156"/>
    <hyperlink r:id="rId156" ref="S157"/>
    <hyperlink r:id="rId157" ref="S158"/>
    <hyperlink r:id="rId158" ref="S159"/>
    <hyperlink r:id="rId159" ref="S160"/>
    <hyperlink r:id="rId160" ref="S161"/>
    <hyperlink r:id="rId161" ref="S162"/>
    <hyperlink r:id="rId162" ref="S163"/>
    <hyperlink r:id="rId163" ref="S164"/>
    <hyperlink r:id="rId164" ref="S165"/>
    <hyperlink r:id="rId165" ref="S166"/>
    <hyperlink r:id="rId166" ref="S167"/>
    <hyperlink r:id="rId167" ref="S168"/>
    <hyperlink r:id="rId168" ref="S169"/>
    <hyperlink r:id="rId169" ref="S170"/>
    <hyperlink r:id="rId170" ref="S171"/>
    <hyperlink r:id="rId171" ref="S172"/>
    <hyperlink r:id="rId172" ref="S173"/>
    <hyperlink r:id="rId173" ref="S174"/>
    <hyperlink r:id="rId174" ref="S175"/>
    <hyperlink r:id="rId175" ref="S176"/>
    <hyperlink r:id="rId176" ref="S177"/>
    <hyperlink r:id="rId177" ref="S178"/>
    <hyperlink r:id="rId178" ref="S179"/>
    <hyperlink r:id="rId179" ref="S180"/>
    <hyperlink r:id="rId180" ref="S181"/>
    <hyperlink r:id="rId181" ref="S182"/>
    <hyperlink r:id="rId182" ref="S183"/>
    <hyperlink r:id="rId183" ref="S184"/>
    <hyperlink r:id="rId184" ref="S185"/>
    <hyperlink r:id="rId185" ref="S186"/>
    <hyperlink r:id="rId186" ref="S187"/>
    <hyperlink r:id="rId187" ref="S188"/>
    <hyperlink r:id="rId188" ref="S189"/>
    <hyperlink r:id="rId189" ref="S190"/>
    <hyperlink r:id="rId190" ref="S191"/>
    <hyperlink r:id="rId191" ref="S192"/>
    <hyperlink r:id="rId192" ref="S193"/>
    <hyperlink r:id="rId193" ref="S194"/>
    <hyperlink r:id="rId194" ref="S195"/>
    <hyperlink r:id="rId195" ref="S196"/>
    <hyperlink r:id="rId196" ref="S197"/>
    <hyperlink r:id="rId197" ref="S198"/>
    <hyperlink r:id="rId198" ref="S199"/>
    <hyperlink r:id="rId199" ref="S200"/>
    <hyperlink r:id="rId200" ref="S201"/>
    <hyperlink r:id="rId201" ref="S202"/>
    <hyperlink r:id="rId202" ref="S203"/>
    <hyperlink r:id="rId203" ref="S204"/>
    <hyperlink r:id="rId204" ref="S205"/>
    <hyperlink r:id="rId205" ref="S206"/>
    <hyperlink r:id="rId206" ref="S207"/>
    <hyperlink r:id="rId207" ref="S208"/>
    <hyperlink r:id="rId208" ref="S209"/>
    <hyperlink r:id="rId209" ref="S210"/>
    <hyperlink r:id="rId210" ref="S211"/>
    <hyperlink r:id="rId211" ref="S212"/>
    <hyperlink r:id="rId212" ref="S213"/>
    <hyperlink r:id="rId213" ref="S214"/>
    <hyperlink r:id="rId214" ref="S215"/>
    <hyperlink r:id="rId215" ref="S216"/>
    <hyperlink r:id="rId216" ref="S217"/>
    <hyperlink r:id="rId217" ref="S218"/>
    <hyperlink r:id="rId218" ref="S219"/>
    <hyperlink r:id="rId219" ref="S220"/>
    <hyperlink r:id="rId220" ref="S221"/>
    <hyperlink r:id="rId221" ref="S222"/>
    <hyperlink r:id="rId222" ref="S223"/>
    <hyperlink r:id="rId223" ref="S224"/>
    <hyperlink r:id="rId224" ref="S225"/>
    <hyperlink r:id="rId225" ref="S226"/>
    <hyperlink r:id="rId226" ref="S227"/>
    <hyperlink r:id="rId227" ref="S228"/>
    <hyperlink r:id="rId228" ref="S229"/>
    <hyperlink r:id="rId229" ref="S230"/>
    <hyperlink r:id="rId230" ref="S231"/>
    <hyperlink r:id="rId231" ref="S232"/>
    <hyperlink r:id="rId232" ref="S233"/>
    <hyperlink r:id="rId233" ref="S234"/>
    <hyperlink r:id="rId234" ref="S235"/>
    <hyperlink r:id="rId235" ref="S236"/>
    <hyperlink r:id="rId236" ref="S237"/>
    <hyperlink r:id="rId237" ref="S238"/>
    <hyperlink r:id="rId238" ref="S239"/>
    <hyperlink r:id="rId239" ref="S240"/>
    <hyperlink r:id="rId240" ref="S241"/>
    <hyperlink r:id="rId241" ref="S242"/>
    <hyperlink r:id="rId242" ref="S243"/>
    <hyperlink r:id="rId243" ref="S244"/>
    <hyperlink r:id="rId244" ref="S245"/>
    <hyperlink r:id="rId245" ref="S246"/>
    <hyperlink r:id="rId246" ref="S247"/>
    <hyperlink r:id="rId247" ref="S248"/>
    <hyperlink r:id="rId248" ref="S249"/>
    <hyperlink r:id="rId249" ref="S250"/>
    <hyperlink r:id="rId250" ref="S251"/>
    <hyperlink r:id="rId251" ref="S252"/>
    <hyperlink r:id="rId252" ref="S253"/>
    <hyperlink r:id="rId253" ref="S254"/>
    <hyperlink r:id="rId254" ref="S255"/>
    <hyperlink r:id="rId255" ref="S256"/>
    <hyperlink r:id="rId256" ref="S257"/>
    <hyperlink r:id="rId257" ref="S258"/>
    <hyperlink r:id="rId258" ref="S259"/>
    <hyperlink r:id="rId259" ref="S260"/>
    <hyperlink r:id="rId260" ref="S261"/>
    <hyperlink r:id="rId261" ref="S262"/>
    <hyperlink r:id="rId262" ref="S263"/>
    <hyperlink r:id="rId263" ref="S264"/>
    <hyperlink r:id="rId264" ref="S265"/>
    <hyperlink r:id="rId265" ref="S266"/>
    <hyperlink r:id="rId266" ref="S267"/>
    <hyperlink r:id="rId267" ref="S268"/>
    <hyperlink r:id="rId268" ref="S269"/>
    <hyperlink r:id="rId269" ref="S270"/>
    <hyperlink r:id="rId270" ref="S271"/>
    <hyperlink r:id="rId271" ref="S272"/>
    <hyperlink r:id="rId272" ref="S273"/>
    <hyperlink r:id="rId273" ref="S274"/>
    <hyperlink r:id="rId274" ref="S275"/>
    <hyperlink r:id="rId275" ref="S276"/>
    <hyperlink r:id="rId276" ref="S277"/>
    <hyperlink r:id="rId277" ref="S278"/>
    <hyperlink r:id="rId278" ref="S279"/>
    <hyperlink r:id="rId279" ref="S280"/>
    <hyperlink r:id="rId280" ref="S281"/>
    <hyperlink r:id="rId281" ref="S282"/>
    <hyperlink r:id="rId282" ref="S283"/>
    <hyperlink r:id="rId283" ref="S284"/>
    <hyperlink r:id="rId284" ref="S285"/>
    <hyperlink r:id="rId285" ref="S286"/>
    <hyperlink r:id="rId286" ref="S287"/>
    <hyperlink r:id="rId287" ref="S288"/>
    <hyperlink r:id="rId288" ref="S289"/>
    <hyperlink r:id="rId289" ref="S290"/>
    <hyperlink r:id="rId290" ref="S291"/>
    <hyperlink r:id="rId291" ref="S292"/>
    <hyperlink r:id="rId292" ref="S293"/>
    <hyperlink r:id="rId293" ref="S294"/>
    <hyperlink r:id="rId294" ref="S295"/>
    <hyperlink r:id="rId295" ref="S296"/>
    <hyperlink r:id="rId296" ref="S297"/>
    <hyperlink r:id="rId297" ref="S298"/>
    <hyperlink r:id="rId298" ref="S306"/>
    <hyperlink r:id="rId299" ref="S307"/>
    <hyperlink r:id="rId300" ref="S308"/>
    <hyperlink r:id="rId301" ref="S309"/>
    <hyperlink r:id="rId302" ref="S310"/>
  </hyperlinks>
  <drawing r:id="rId303"/>
  <legacyDrawing r:id="rId30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7.13"/>
    <col customWidth="1" min="3" max="3" width="3.25"/>
    <col customWidth="1" min="4" max="4" width="5.0"/>
    <col customWidth="1" min="5" max="5" width="5.75"/>
    <col customWidth="1" min="6" max="6" width="5.0"/>
    <col customWidth="1" min="7" max="7" width="7.13"/>
    <col customWidth="1" min="8" max="8" width="9.0"/>
    <col customWidth="1" min="9" max="9" width="9.75"/>
    <col customWidth="1" min="10" max="10" width="8.88"/>
    <col customWidth="1" min="11" max="11" width="9.13"/>
    <col customWidth="1" min="12" max="12" width="7.63"/>
    <col customWidth="1" min="13" max="13" width="8.88"/>
    <col customWidth="1" min="14" max="14" width="6.75"/>
    <col customWidth="1" min="15" max="15" width="7.25"/>
    <col customWidth="1" min="16" max="16" width="6.5"/>
    <col customWidth="1" min="17" max="17" width="5.25"/>
    <col customWidth="1" min="18" max="18" width="5.75"/>
    <col customWidth="1" min="19" max="19" width="18.5"/>
    <col customWidth="1" min="20" max="20" width="15.5"/>
  </cols>
  <sheetData>
    <row r="1">
      <c r="A1" s="8" t="str">
        <f>IFERROR(__xludf.DUMMYFUNCTION("query('Form Responses 1'!A:V,""Select * Where B='Update existing entry'"")"),"Timestamp")</f>
        <v>Timestamp</v>
      </c>
      <c r="B1" s="8" t="str">
        <f>IFERROR(__xludf.DUMMYFUNCTION("""COMPUTED_VALUE"""),"I want to:")</f>
        <v>I want to:</v>
      </c>
      <c r="C1" s="8" t="str">
        <f>IFERROR(__xludf.DUMMYFUNCTION("""COMPUTED_VALUE"""),"Title")</f>
        <v>Title</v>
      </c>
      <c r="D1" s="8" t="str">
        <f>IFERROR(__xludf.DUMMYFUNCTION("""COMPUTED_VALUE"""),"Author")</f>
        <v>Author</v>
      </c>
      <c r="E1" s="8" t="str">
        <f>IFERROR(__xludf.DUMMYFUNCTION("""COMPUTED_VALUE"""),"Pairing")</f>
        <v>Pairing</v>
      </c>
      <c r="F1" s="8" t="str">
        <f>IFERROR(__xludf.DUMMYFUNCTION("""COMPUTED_VALUE"""),"Character representation (elaborate in the next section if you can!)")</f>
        <v>Character representation (elaborate in the next section if you can!)</v>
      </c>
      <c r="G1" s="8" t="str">
        <f>IFERROR(__xludf.DUMMYFUNCTION("""COMPUTED_VALUE"""),"Tell us more about the characters! (optional)")</f>
        <v>Tell us more about the characters! (optional)</v>
      </c>
      <c r="H1" s="8" t="str">
        <f>IFERROR(__xludf.DUMMYFUNCTION("""COMPUTED_VALUE"""),"Point of View (optional)")</f>
        <v>Point of View (optional)</v>
      </c>
      <c r="I1" s="8" t="str">
        <f>IFERROR(__xludf.DUMMYFUNCTION("""COMPUTED_VALUE"""),"Subgenres- Select at least one, or as many as apply")</f>
        <v>Subgenres- Select at least one, or as many as apply</v>
      </c>
      <c r="J1" s="8" t="str">
        <f>IFERROR(__xludf.DUMMYFUNCTION("""COMPUTED_VALUE"""),"Tropes/Features- Select at least one, as many as ten")</f>
        <v>Tropes/Features- Select at least one, as many as ten</v>
      </c>
      <c r="K1" s="8" t="str">
        <f>IFERROR(__xludf.DUMMYFUNCTION("""COMPUTED_VALUE"""),"Location/Setting")</f>
        <v>Location/Setting</v>
      </c>
      <c r="L1" s="8" t="str">
        <f>IFERROR(__xludf.DUMMYFUNCTION("""COMPUTED_VALUE"""),"Steam Level (optional but useful)")</f>
        <v>Steam Level (optional but useful)</v>
      </c>
      <c r="M1" s="8" t="str">
        <f>IFERROR(__xludf.DUMMYFUNCTION("""COMPUTED_VALUE"""),"Details of Sex, Kinks, and Fetish")</f>
        <v>Details of Sex, Kinks, and Fetish</v>
      </c>
      <c r="N1" s="8" t="str">
        <f>IFERROR(__xludf.DUMMYFUNCTION("""COMPUTED_VALUE"""),"Part of a Series? (optional)")</f>
        <v>Part of a Series? (optional)</v>
      </c>
      <c r="O1" s="8" t="str">
        <f>IFERROR(__xludf.DUMMYFUNCTION("""COMPUTED_VALUE"""),"Series Name and Book # (if applicable) eg; Lugubrious Dukes book #2")</f>
        <v>Series Name and Book # (if applicable) eg; Lugubrious Dukes book #2</v>
      </c>
      <c r="P1" s="8" t="str">
        <f>IFERROR(__xludf.DUMMYFUNCTION("""COMPUTED_VALUE"""),"The story made me: (optional, check as many as you want)")</f>
        <v>The story made me: (optional, check as many as you want)</v>
      </c>
      <c r="Q1" s="9" t="str">
        <f>IFERROR(__xludf.DUMMYFUNCTION("""COMPUTED_VALUE"""),"Content Warnings? (optional but helpful) eg; assault, dubious consent")</f>
        <v>Content Warnings? (optional but helpful) eg; assault, dubious consent</v>
      </c>
      <c r="R1" s="10" t="str">
        <f>IFERROR(__xludf.DUMMYFUNCTION("""COMPUTED_VALUE"""),"Audiobook included with KU?")</f>
        <v>Audiobook included with KU?</v>
      </c>
      <c r="S1" s="10" t="str">
        <f>IFERROR(__xludf.DUMMYFUNCTION("""COMPUTED_VALUE"""),"Goodreads Link? (not required but will bring you good karma!)")</f>
        <v>Goodreads Link? (not required but will bring you good karma!)</v>
      </c>
      <c r="T1" s="11" t="str">
        <f>IFERROR(__xludf.DUMMYFUNCTION("""COMPUTED_VALUE"""),"Title and author")</f>
        <v>Title and author</v>
      </c>
      <c r="U1" s="11" t="str">
        <f>IFERROR(__xludf.DUMMYFUNCTION("""COMPUTED_VALUE"""),"Issue to correct")</f>
        <v>Issue to correct</v>
      </c>
      <c r="V1" s="11" t="str">
        <f>IFERROR(__xludf.DUMMYFUNCTION("""COMPUTED_VALUE"""),"Tell us more")</f>
        <v>Tell us more</v>
      </c>
    </row>
    <row r="2">
      <c r="A2" s="12">
        <f>IFERROR(__xludf.DUMMYFUNCTION("""COMPUTED_VALUE"""),45200.69818543982)</f>
        <v>45200.69819</v>
      </c>
      <c r="B2" s="1" t="str">
        <f>IFERROR(__xludf.DUMMYFUNCTION("""COMPUTED_VALUE"""),"Update existing entry")</f>
        <v>Update existing entry</v>
      </c>
      <c r="C2" s="1"/>
      <c r="D2" s="1"/>
      <c r="E2" s="1"/>
      <c r="F2" s="1"/>
      <c r="G2" s="1"/>
      <c r="H2" s="1"/>
      <c r="I2" s="1"/>
      <c r="J2" s="1"/>
      <c r="K2" s="1"/>
      <c r="L2" s="1"/>
      <c r="M2" s="1"/>
      <c r="N2" s="1"/>
      <c r="O2" s="1"/>
      <c r="P2" s="1"/>
      <c r="Q2" s="1"/>
      <c r="R2" s="1"/>
      <c r="S2" s="1"/>
      <c r="T2" s="1" t="str">
        <f>IFERROR(__xludf.DUMMYFUNCTION("""COMPUTED_VALUE"""),"Skin by Aveda Vice ")</f>
        <v>Skin by Aveda Vice </v>
      </c>
      <c r="U2" s="1" t="str">
        <f>IFERROR(__xludf.DUMMYFUNCTION("""COMPUTED_VALUE"""),"Not KU")</f>
        <v>Not KU</v>
      </c>
      <c r="V2" s="1"/>
    </row>
    <row r="3">
      <c r="A3" s="12">
        <f>IFERROR(__xludf.DUMMYFUNCTION("""COMPUTED_VALUE"""),45200.70008846065)</f>
        <v>45200.70009</v>
      </c>
      <c r="B3" s="1" t="str">
        <f>IFERROR(__xludf.DUMMYFUNCTION("""COMPUTED_VALUE"""),"Update existing entry")</f>
        <v>Update existing entry</v>
      </c>
      <c r="C3" s="1"/>
      <c r="D3" s="1"/>
      <c r="E3" s="1"/>
      <c r="F3" s="1"/>
      <c r="G3" s="1"/>
      <c r="H3" s="1"/>
      <c r="I3" s="1"/>
      <c r="J3" s="1"/>
      <c r="K3" s="1"/>
      <c r="L3" s="1"/>
      <c r="M3" s="1"/>
      <c r="N3" s="1"/>
      <c r="O3" s="1"/>
      <c r="P3" s="1"/>
      <c r="Q3" s="1"/>
      <c r="R3" s="1"/>
      <c r="S3" s="1"/>
      <c r="T3" s="1" t="str">
        <f>IFERROR(__xludf.DUMMYFUNCTION("""COMPUTED_VALUE"""),"Inextricably Tied ")</f>
        <v>Inextricably Tied </v>
      </c>
      <c r="U3" s="1" t="str">
        <f>IFERROR(__xludf.DUMMYFUNCTION("""COMPUTED_VALUE"""),"Not KU")</f>
        <v>Not KU</v>
      </c>
      <c r="V3"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hidden="1" min="1" max="1" width="3.25"/>
    <col customWidth="1" hidden="1" min="2" max="2" width="4.13"/>
    <col customWidth="1" min="3" max="3" width="20.75"/>
    <col customWidth="1" min="4" max="4" width="21.5"/>
    <col customWidth="1" min="5" max="5" width="12.63"/>
    <col customWidth="1" min="6" max="6" width="31.0"/>
    <col customWidth="1" min="7" max="7" width="30.88"/>
    <col customWidth="1" min="8" max="8" width="23.13"/>
    <col customWidth="1" min="9" max="9" width="42.0"/>
    <col customWidth="1" min="10" max="10" width="49.63"/>
    <col customWidth="1" min="11" max="11" width="21.38"/>
    <col customWidth="1" min="12" max="12" width="20.88"/>
    <col customWidth="1" min="13" max="13" width="54.38"/>
    <col customWidth="1" min="14" max="14" width="17.13"/>
    <col customWidth="1" min="15" max="15" width="30.25"/>
    <col customWidth="1" min="16" max="16" width="29.0"/>
    <col customWidth="1" min="17" max="17" width="42.63"/>
  </cols>
  <sheetData>
    <row r="1" ht="47.25" customHeight="1">
      <c r="A1" s="13" t="str">
        <f>IFERROR(__xludf.DUMMYFUNCTION("query('Form Responses 1'!A:S,""Select * Where B='Add new entry'"")"),"Timestamp")</f>
        <v>Timestamp</v>
      </c>
      <c r="B1" s="13" t="str">
        <f>IFERROR(__xludf.DUMMYFUNCTION("""COMPUTED_VALUE"""),"I want to:")</f>
        <v>I want to:</v>
      </c>
      <c r="C1" s="14" t="str">
        <f>IFERROR(__xludf.DUMMYFUNCTION("""COMPUTED_VALUE"""),"Title")</f>
        <v>Title</v>
      </c>
      <c r="D1" s="14" t="str">
        <f>IFERROR(__xludf.DUMMYFUNCTION("""COMPUTED_VALUE"""),"Author")</f>
        <v>Author</v>
      </c>
      <c r="E1" s="15" t="str">
        <f>IFERROR(__xludf.DUMMYFUNCTION("""COMPUTED_VALUE"""),"Pairing")</f>
        <v>Pairing</v>
      </c>
      <c r="F1" s="15" t="str">
        <f>IFERROR(__xludf.DUMMYFUNCTION("""COMPUTED_VALUE"""),"Character representation (elaborate in the next section if you can!)")</f>
        <v>Character representation (elaborate in the next section if you can!)</v>
      </c>
      <c r="G1" s="15" t="str">
        <f>IFERROR(__xludf.DUMMYFUNCTION("""COMPUTED_VALUE"""),"Tell us more about the characters! (optional)")</f>
        <v>Tell us more about the characters! (optional)</v>
      </c>
      <c r="H1" s="15" t="str">
        <f>IFERROR(__xludf.DUMMYFUNCTION("""COMPUTED_VALUE"""),"Point of View (optional)")</f>
        <v>Point of View (optional)</v>
      </c>
      <c r="I1" s="15" t="str">
        <f>IFERROR(__xludf.DUMMYFUNCTION("""COMPUTED_VALUE"""),"Subgenres- Select at least one, or as many as apply")</f>
        <v>Subgenres- Select at least one, or as many as apply</v>
      </c>
      <c r="J1" s="15" t="str">
        <f>IFERROR(__xludf.DUMMYFUNCTION("""COMPUTED_VALUE"""),"Tropes/Features- Select at least one, as many as ten")</f>
        <v>Tropes/Features- Select at least one, as many as ten</v>
      </c>
      <c r="K1" s="15" t="str">
        <f>IFERROR(__xludf.DUMMYFUNCTION("""COMPUTED_VALUE"""),"Location/Setting")</f>
        <v>Location/Setting</v>
      </c>
      <c r="L1" s="15" t="str">
        <f>IFERROR(__xludf.DUMMYFUNCTION("""COMPUTED_VALUE"""),"Steam Level (optional but useful)")</f>
        <v>Steam Level (optional but useful)</v>
      </c>
      <c r="M1" s="15" t="str">
        <f>IFERROR(__xludf.DUMMYFUNCTION("""COMPUTED_VALUE"""),"Details of Sex, Kinks, and Fetish")</f>
        <v>Details of Sex, Kinks, and Fetish</v>
      </c>
      <c r="N1" s="15" t="str">
        <f>IFERROR(__xludf.DUMMYFUNCTION("""COMPUTED_VALUE"""),"Part of a Series? (optional)")</f>
        <v>Part of a Series? (optional)</v>
      </c>
      <c r="O1" s="15" t="str">
        <f>IFERROR(__xludf.DUMMYFUNCTION("""COMPUTED_VALUE"""),"Series Name and Book # (if applicable) eg; Lugubrious Dukes book #2")</f>
        <v>Series Name and Book # (if applicable) eg; Lugubrious Dukes book #2</v>
      </c>
      <c r="P1" s="15" t="str">
        <f>IFERROR(__xludf.DUMMYFUNCTION("""COMPUTED_VALUE"""),"The story made me: (optional, check as many as you want)")</f>
        <v>The story made me: (optional, check as many as you want)</v>
      </c>
      <c r="Q1" s="15" t="str">
        <f>IFERROR(__xludf.DUMMYFUNCTION("""COMPUTED_VALUE"""),"Content Warnings? (optional but helpful) eg; assault, dubious consent")</f>
        <v>Content Warnings? (optional but helpful) eg; assault, dubious consent</v>
      </c>
      <c r="R1" s="15" t="str">
        <f>IFERROR(__xludf.DUMMYFUNCTION("""COMPUTED_VALUE"""),"Audiobook included with KU?")</f>
        <v>Audiobook included with KU?</v>
      </c>
      <c r="S1" s="15" t="str">
        <f>IFERROR(__xludf.DUMMYFUNCTION("""COMPUTED_VALUE"""),"Goodreads Link? (not required but will bring you good karma!)")</f>
        <v>Goodreads Link? (not required but will bring you good karma!)</v>
      </c>
      <c r="T1" s="15"/>
    </row>
    <row r="2">
      <c r="A2" s="16">
        <f>IFERROR(__xludf.DUMMYFUNCTION("""COMPUTED_VALUE"""),44779.61976091436)</f>
        <v>44779.61976</v>
      </c>
      <c r="B2" s="13" t="str">
        <f>IFERROR(__xludf.DUMMYFUNCTION("""COMPUTED_VALUE"""),"Add new entry")</f>
        <v>Add new entry</v>
      </c>
      <c r="C2" s="17" t="str">
        <f>IFERROR(__xludf.DUMMYFUNCTION("""COMPUTED_VALUE"""),"The Lord of Stariel")</f>
        <v>The Lord of Stariel</v>
      </c>
      <c r="D2" s="18" t="str">
        <f>IFERROR(__xludf.DUMMYFUNCTION("""COMPUTED_VALUE"""),"A.J. Lancaster")</f>
        <v>A.J. Lancaster</v>
      </c>
      <c r="E2" s="18" t="str">
        <f>IFERROR(__xludf.DUMMYFUNCTION("""COMPUTED_VALUE"""),"M/F")</f>
        <v>M/F</v>
      </c>
      <c r="F2" s="18"/>
      <c r="G2" s="18"/>
      <c r="H2" s="18" t="str">
        <f>IFERROR(__xludf.DUMMYFUNCTION("""COMPUTED_VALUE"""),"Single POV, Third person")</f>
        <v>Single POV, Third person</v>
      </c>
      <c r="I2" s="18" t="str">
        <f>IFERROR(__xludf.DUMMYFUNCTION("""COMPUTED_VALUE"""),"Fantasy &amp; Gothic, Historical Romance, LGBTQIA+ &amp; GSM")</f>
        <v>Fantasy &amp; Gothic, Historical Romance, LGBTQIA+ &amp; GSM</v>
      </c>
      <c r="J2" s="18" t="str">
        <f>IFERROR(__xludf.DUMMYFUNCTION("""COMPUTED_VALUE"""),"Class Differences, Creatures- Dragon/Fae/etc, Early 20th Century, Friends-to-lovers, Political, Royalty, Slow Burn")</f>
        <v>Class Differences, Creatures- Dragon/Fae/etc, Early 20th Century, Friends-to-lovers, Political, Royalty, Slow Burn</v>
      </c>
      <c r="K2" s="18"/>
      <c r="L2" s="18" t="str">
        <f>IFERROR(__xludf.DUMMYFUNCTION("""COMPUTED_VALUE"""),"Level 2- Kisses and some action, nothing explicit")</f>
        <v>Level 2- Kisses and some action, nothing explicit</v>
      </c>
      <c r="M2" s="18"/>
      <c r="N2" s="18"/>
      <c r="O2" s="18" t="str">
        <f>IFERROR(__xludf.DUMMYFUNCTION("""COMPUTED_VALUE"""),"Stariel #1")</f>
        <v>Stariel #1</v>
      </c>
      <c r="P2" s="18" t="str">
        <f>IFERROR(__xludf.DUMMYFUNCTION("""COMPUTED_VALUE"""),"Swoon, Laugh, Feel feels, Inspired, Transported")</f>
        <v>Swoon, Laugh, Feel feels, Inspired, Transported</v>
      </c>
      <c r="Q2" s="18" t="str">
        <f>IFERROR(__xludf.DUMMYFUNCTION("""COMPUTED_VALUE"""),"mild love triangle, but it's resolved quickly ")</f>
        <v>mild love triangle, but it's resolved quickly </v>
      </c>
      <c r="R2" s="19" t="str">
        <f>IFERROR(__xludf.DUMMYFUNCTION("""COMPUTED_VALUE"""),"No")</f>
        <v>No</v>
      </c>
      <c r="S2" s="20" t="str">
        <f>IFERROR(__xludf.DUMMYFUNCTION("""COMPUTED_VALUE"""),"https://www.goodreads.com/book/show/41838393-the-lord-of-stariel")</f>
        <v>https://www.goodreads.com/book/show/41838393-the-lord-of-stariel</v>
      </c>
    </row>
    <row r="3">
      <c r="A3" s="16">
        <f>IFERROR(__xludf.DUMMYFUNCTION("""COMPUTED_VALUE"""),45061.51486243055)</f>
        <v>45061.51486</v>
      </c>
      <c r="B3" s="13" t="str">
        <f>IFERROR(__xludf.DUMMYFUNCTION("""COMPUTED_VALUE"""),"Add new entry")</f>
        <v>Add new entry</v>
      </c>
      <c r="C3" s="17" t="str">
        <f>IFERROR(__xludf.DUMMYFUNCTION("""COMPUTED_VALUE"""),"The Devil's Ex-fiancee")</f>
        <v>The Devil's Ex-fiancee</v>
      </c>
      <c r="D3" s="18" t="str">
        <f>IFERROR(__xludf.DUMMYFUNCTION("""COMPUTED_VALUE"""),"A.Ogunmokun")</f>
        <v>A.Ogunmokun</v>
      </c>
      <c r="E3" s="18" t="str">
        <f>IFERROR(__xludf.DUMMYFUNCTION("""COMPUTED_VALUE"""),"M/F")</f>
        <v>M/F</v>
      </c>
      <c r="F3" s="18" t="str">
        <f>IFERROR(__xludf.DUMMYFUNCTION("""COMPUTED_VALUE"""),"BIPoC (Black, Indigenous, People of Colour)")</f>
        <v>BIPoC (Black, Indigenous, People of Colour)</v>
      </c>
      <c r="G3" s="18"/>
      <c r="H3" s="18" t="str">
        <f>IFERROR(__xludf.DUMMYFUNCTION("""COMPUTED_VALUE"""),"Third person")</f>
        <v>Third person</v>
      </c>
      <c r="I3" s="18" t="str">
        <f>IFERROR(__xludf.DUMMYFUNCTION("""COMPUTED_VALUE"""),"Contemporary, Dark, Erotic Romance, Multicultural/Interracial")</f>
        <v>Contemporary, Dark, Erotic Romance, Multicultural/Interracial</v>
      </c>
      <c r="J3" s="18" t="str">
        <f>IFERROR(__xludf.DUMMYFUNCTION("""COMPUTED_VALUE"""),"Billionaires/Millionaires/Gazillionaires etc, Coworkers or Colleagues, Friends-to-lovers, Novella or Short Story")</f>
        <v>Billionaires/Millionaires/Gazillionaires etc, Coworkers or Colleagues, Friends-to-lovers, Novella or Short Story</v>
      </c>
      <c r="K3" s="18" t="str">
        <f>IFERROR(__xludf.DUMMYFUNCTION("""COMPUTED_VALUE"""),"Europe")</f>
        <v>Europe</v>
      </c>
      <c r="L3" s="18" t="str">
        <f>IFERROR(__xludf.DUMMYFUNCTION("""COMPUTED_VALUE"""),"Level 4- Heavy sexual content, mature audiences only")</f>
        <v>Level 4- Heavy sexual content, mature audiences only</v>
      </c>
      <c r="M3" s="18" t="str">
        <f>IFERROR(__xludf.DUMMYFUNCTION("""COMPUTED_VALUE"""),"Cum Fetish, Dirty Talk")</f>
        <v>Cum Fetish, Dirty Talk</v>
      </c>
      <c r="N3" s="18" t="str">
        <f>IFERROR(__xludf.DUMMYFUNCTION("""COMPUTED_VALUE"""),"Series- can be read as standalones")</f>
        <v>Series- can be read as standalones</v>
      </c>
      <c r="O3" s="18" t="str">
        <f>IFERROR(__xludf.DUMMYFUNCTION("""COMPUTED_VALUE"""),"The Devil's Ex-fiancee")</f>
        <v>The Devil's Ex-fiancee</v>
      </c>
      <c r="P3" s="18" t="str">
        <f>IFERROR(__xludf.DUMMYFUNCTION("""COMPUTED_VALUE"""),"Swoon, Scared")</f>
        <v>Swoon, Scared</v>
      </c>
      <c r="Q3" s="18"/>
      <c r="R3" s="19" t="str">
        <f>IFERROR(__xludf.DUMMYFUNCTION("""COMPUTED_VALUE"""),"No")</f>
        <v>No</v>
      </c>
      <c r="S3" s="20" t="str">
        <f>IFERROR(__xludf.DUMMYFUNCTION("""COMPUTED_VALUE"""),"https://www.goodreads.com/book/show/124941950-becoming")</f>
        <v>https://www.goodreads.com/book/show/124941950-becoming</v>
      </c>
    </row>
    <row r="4">
      <c r="A4" s="16">
        <f>IFERROR(__xludf.DUMMYFUNCTION("""COMPUTED_VALUE"""),45200.69176361111)</f>
        <v>45200.69176</v>
      </c>
      <c r="B4" s="13" t="str">
        <f>IFERROR(__xludf.DUMMYFUNCTION("""COMPUTED_VALUE"""),"Add new entry")</f>
        <v>Add new entry</v>
      </c>
      <c r="C4" s="17" t="str">
        <f>IFERROR(__xludf.DUMMYFUNCTION("""COMPUTED_VALUE"""),"Initiation")</f>
        <v>Initiation</v>
      </c>
      <c r="D4" s="18" t="str">
        <f>IFERROR(__xludf.DUMMYFUNCTION("""COMPUTED_VALUE"""),"Alethea Faust ")</f>
        <v>Alethea Faust </v>
      </c>
      <c r="E4" s="18" t="str">
        <f>IFERROR(__xludf.DUMMYFUNCTION("""COMPUTED_VALUE"""),"Non-monogamous ")</f>
        <v>Non-monogamous </v>
      </c>
      <c r="F4" s="18" t="str">
        <f>IFERROR(__xludf.DUMMYFUNCTION("""COMPUTED_VALUE"""),"LGBTQIA+ &amp; GSM (Gender and Sexual Minorities)")</f>
        <v>LGBTQIA+ &amp; GSM (Gender and Sexual Minorities)</v>
      </c>
      <c r="G4" s="18"/>
      <c r="H4" s="18" t="str">
        <f>IFERROR(__xludf.DUMMYFUNCTION("""COMPUTED_VALUE"""),"Single POV, First person")</f>
        <v>Single POV, First person</v>
      </c>
      <c r="I4" s="18" t="str">
        <f>IFERROR(__xludf.DUMMYFUNCTION("""COMPUTED_VALUE"""),"Adventure, Fantasy")</f>
        <v>Adventure, Fantasy</v>
      </c>
      <c r="J4" s="18" t="str">
        <f>IFERROR(__xludf.DUMMYFUNCTION("""COMPUTED_VALUE"""),"BDSM or Kink, Witch/Wizard/Warlock etc")</f>
        <v>BDSM or Kink, Witch/Wizard/Warlock etc</v>
      </c>
      <c r="K4" s="18"/>
      <c r="L4" s="18" t="str">
        <f>IFERROR(__xludf.DUMMYFUNCTION("""COMPUTED_VALUE"""),"Level 5- My Kindle melted, primarily erotica")</f>
        <v>Level 5- My Kindle melted, primarily erotica</v>
      </c>
      <c r="M4" s="18" t="str">
        <f>IFERROR(__xludf.DUMMYFUNCTION("""COMPUTED_VALUE"""),"Anal sex, Blood Play, Bondage &amp; Restraints, Breath Play (eg.choking), Degradation Kink, Dom/Sub, Double Penetration, Edging/Orgasm Denial, Exhibitionism, Femdom, Free Use, Humiliation Kink, Maledom, Masochism, Oral sex - cunnilingus, Oral sex - fellatio, "&amp;"PIV sex (penis in vagina), Sadism, Sex Toy Play")</f>
        <v>Anal sex, Blood Play, Bondage &amp; Restraints, Breath Play (eg.choking), Degradation Kink, Dom/Sub, Double Penetration, Edging/Orgasm Denial, Exhibitionism, Femdom, Free Use, Humiliation Kink, Maledom, Masochism, Oral sex - cunnilingus, Oral sex - fellatio, PIV sex (penis in vagina), Sadism, Sex Toy Play</v>
      </c>
      <c r="N4" s="18" t="str">
        <f>IFERROR(__xludf.DUMMYFUNCTION("""COMPUTED_VALUE"""),"Series- must be read in order")</f>
        <v>Series- must be read in order</v>
      </c>
      <c r="O4" s="18" t="str">
        <f>IFERROR(__xludf.DUMMYFUNCTION("""COMPUTED_VALUE"""),"Sex Wizards #1")</f>
        <v>Sex Wizards #1</v>
      </c>
      <c r="P4" s="18" t="str">
        <f>IFERROR(__xludf.DUMMYFUNCTION("""COMPUTED_VALUE"""),"Swoon, Laugh, Transported")</f>
        <v>Swoon, Laugh, Transported</v>
      </c>
      <c r="Q4" s="18"/>
      <c r="R4" s="19" t="str">
        <f>IFERROR(__xludf.DUMMYFUNCTION("""COMPUTED_VALUE"""),"No")</f>
        <v>No</v>
      </c>
      <c r="S4" s="20" t="str">
        <f>IFERROR(__xludf.DUMMYFUNCTION("""COMPUTED_VALUE"""),"https://www.goodreads.com/book/show/59339420-initiation")</f>
        <v>https://www.goodreads.com/book/show/59339420-initiation</v>
      </c>
    </row>
    <row r="5">
      <c r="A5" s="16">
        <f>IFERROR(__xludf.DUMMYFUNCTION("""COMPUTED_VALUE"""),45501.99950232639)</f>
        <v>45501.9995</v>
      </c>
      <c r="B5" s="13" t="str">
        <f>IFERROR(__xludf.DUMMYFUNCTION("""COMPUTED_VALUE"""),"Add new entry")</f>
        <v>Add new entry</v>
      </c>
      <c r="C5" s="17" t="str">
        <f>IFERROR(__xludf.DUMMYFUNCTION("""COMPUTED_VALUE"""),"My Life with the Walter Boys")</f>
        <v>My Life with the Walter Boys</v>
      </c>
      <c r="D5" s="18" t="str">
        <f>IFERROR(__xludf.DUMMYFUNCTION("""COMPUTED_VALUE"""),"Ali Novak")</f>
        <v>Ali Novak</v>
      </c>
      <c r="E5" s="18" t="str">
        <f>IFERROR(__xludf.DUMMYFUNCTION("""COMPUTED_VALUE"""),"M/F")</f>
        <v>M/F</v>
      </c>
      <c r="F5" s="18"/>
      <c r="G5" s="18" t="str">
        <f>IFERROR(__xludf.DUMMYFUNCTION("""COMPUTED_VALUE"""),"FMC Jackie is sent to live with her godmother after her family dies. However, her godmother has 12 boys also living with her.")</f>
        <v>FMC Jackie is sent to live with her godmother after her family dies. However, her godmother has 12 boys also living with her.</v>
      </c>
      <c r="H5" s="18" t="str">
        <f>IFERROR(__xludf.DUMMYFUNCTION("""COMPUTED_VALUE"""),"Single POV")</f>
        <v>Single POV</v>
      </c>
      <c r="I5" s="18" t="str">
        <f>IFERROR(__xludf.DUMMYFUNCTION("""COMPUTED_VALUE"""),"New Adult (NA), Romantic Comedy, Young Adult (YA)")</f>
        <v>New Adult (NA), Romantic Comedy, Young Adult (YA)</v>
      </c>
      <c r="J5" s="18" t="str">
        <f>IFERROR(__xludf.DUMMYFUNCTION("""COMPUTED_VALUE"""),"Cheating, Enemies-to-lovers (or dislike-to-love), Fake Relationship, Fated Mates, Forced Proximity, Friends-to-lovers, Grumpy/Sunshine, Hurt/Comfort, Love Triangle, Mid 20th Century, Off Limits (ie; Brother's Best Friend), Virgin MC, Off-limits - Siblings"&amp;" fight for same girl")</f>
        <v>Cheating, Enemies-to-lovers (or dislike-to-love), Fake Relationship, Fated Mates, Forced Proximity, Friends-to-lovers, Grumpy/Sunshine, Hurt/Comfort, Love Triangle, Mid 20th Century, Off Limits (ie; Brother's Best Friend), Virgin MC, Off-limits - Siblings fight for same girl</v>
      </c>
      <c r="K5" s="18" t="str">
        <f>IFERROR(__xludf.DUMMYFUNCTION("""COMPUTED_VALUE"""),"North America")</f>
        <v>North America</v>
      </c>
      <c r="L5" s="18" t="str">
        <f>IFERROR(__xludf.DUMMYFUNCTION("""COMPUTED_VALUE"""),"Level 2- Kisses and foreplay, everything else closed door")</f>
        <v>Level 2- Kisses and foreplay, everything else closed door</v>
      </c>
      <c r="M5" s="18"/>
      <c r="N5" s="18" t="str">
        <f>IFERROR(__xludf.DUMMYFUNCTION("""COMPUTED_VALUE"""),"Series- must be read in order")</f>
        <v>Series- must be read in order</v>
      </c>
      <c r="O5" s="18" t="str">
        <f>IFERROR(__xludf.DUMMYFUNCTION("""COMPUTED_VALUE"""),"#1")</f>
        <v>#1</v>
      </c>
      <c r="P5" s="18" t="str">
        <f>IFERROR(__xludf.DUMMYFUNCTION("""COMPUTED_VALUE"""),"Swoon, Laugh, Rage")</f>
        <v>Swoon, Laugh, Rage</v>
      </c>
      <c r="Q5" s="18"/>
      <c r="R5" s="19" t="str">
        <f>IFERROR(__xludf.DUMMYFUNCTION("""COMPUTED_VALUE"""),"No")</f>
        <v>No</v>
      </c>
      <c r="S5" s="20" t="str">
        <f>IFERROR(__xludf.DUMMYFUNCTION("""COMPUTED_VALUE"""),"https://www.goodreads.com/book/show/13580846-my-life-with-the-walter-boys")</f>
        <v>https://www.goodreads.com/book/show/13580846-my-life-with-the-walter-boys</v>
      </c>
    </row>
    <row r="6">
      <c r="A6" s="16">
        <f>IFERROR(__xludf.DUMMYFUNCTION("""COMPUTED_VALUE"""),44779.66672172454)</f>
        <v>44779.66672</v>
      </c>
      <c r="B6" s="13" t="str">
        <f>IFERROR(__xludf.DUMMYFUNCTION("""COMPUTED_VALUE"""),"Add new entry")</f>
        <v>Add new entry</v>
      </c>
      <c r="C6" s="17" t="str">
        <f>IFERROR(__xludf.DUMMYFUNCTION("""COMPUTED_VALUE"""),"Her Baseborn Bridegroom")</f>
        <v>Her Baseborn Bridegroom</v>
      </c>
      <c r="D6" s="18" t="str">
        <f>IFERROR(__xludf.DUMMYFUNCTION("""COMPUTED_VALUE"""),"Alice Coldbreath")</f>
        <v>Alice Coldbreath</v>
      </c>
      <c r="E6" s="18" t="str">
        <f>IFERROR(__xludf.DUMMYFUNCTION("""COMPUTED_VALUE"""),"M/F")</f>
        <v>M/F</v>
      </c>
      <c r="F6" s="18"/>
      <c r="G6" s="18"/>
      <c r="H6" s="18" t="str">
        <f>IFERROR(__xludf.DUMMYFUNCTION("""COMPUTED_VALUE"""),"Dual POV, Third person")</f>
        <v>Dual POV, Third person</v>
      </c>
      <c r="I6" s="18" t="str">
        <f>IFERROR(__xludf.DUMMYFUNCTION("""COMPUTED_VALUE"""),"Historical Romance")</f>
        <v>Historical Romance</v>
      </c>
      <c r="J6" s="18" t="str">
        <f>IFERROR(__xludf.DUMMYFUNCTION("""COMPUTED_VALUE"""),"Marriage of Convenience (or arranged marriage), Medieval, Normal MC- Average looks or career")</f>
        <v>Marriage of Convenience (or arranged marriage), Medieval, Normal MC- Average looks or career</v>
      </c>
      <c r="K6" s="18"/>
      <c r="L6" s="18" t="str">
        <f>IFERROR(__xludf.DUMMYFUNCTION("""COMPUTED_VALUE"""),"Level 3- Sexual content in a few chapters")</f>
        <v>Level 3- Sexual content in a few chapters</v>
      </c>
      <c r="M6" s="18"/>
      <c r="N6" s="18"/>
      <c r="O6" s="18" t="str">
        <f>IFERROR(__xludf.DUMMYFUNCTION("""COMPUTED_VALUE"""),"Vawdrey Brothers #1")</f>
        <v>Vawdrey Brothers #1</v>
      </c>
      <c r="P6" s="18" t="str">
        <f>IFERROR(__xludf.DUMMYFUNCTION("""COMPUTED_VALUE"""),"Feel feels")</f>
        <v>Feel feels</v>
      </c>
      <c r="Q6" s="18"/>
      <c r="R6" s="19" t="str">
        <f>IFERROR(__xludf.DUMMYFUNCTION("""COMPUTED_VALUE"""),"No")</f>
        <v>No</v>
      </c>
      <c r="S6" s="20" t="str">
        <f>IFERROR(__xludf.DUMMYFUNCTION("""COMPUTED_VALUE"""),"https://www.goodreads.com/book/show/36103790-her-baseborn-bridegroom")</f>
        <v>https://www.goodreads.com/book/show/36103790-her-baseborn-bridegroom</v>
      </c>
    </row>
    <row r="7">
      <c r="A7" s="16">
        <f>IFERROR(__xludf.DUMMYFUNCTION("""COMPUTED_VALUE"""),44932.97010309028)</f>
        <v>44932.9701</v>
      </c>
      <c r="B7" s="13" t="str">
        <f>IFERROR(__xludf.DUMMYFUNCTION("""COMPUTED_VALUE"""),"Add new entry")</f>
        <v>Add new entry</v>
      </c>
      <c r="C7" s="17" t="str">
        <f>IFERROR(__xludf.DUMMYFUNCTION("""COMPUTED_VALUE"""),"Honestly, I'm Totally Faking It ")</f>
        <v>Honestly, I'm Totally Faking It </v>
      </c>
      <c r="D7" s="18" t="str">
        <f>IFERROR(__xludf.DUMMYFUNCTION("""COMPUTED_VALUE"""),"Amanda Gambill")</f>
        <v>Amanda Gambill</v>
      </c>
      <c r="E7" s="18" t="str">
        <f>IFERROR(__xludf.DUMMYFUNCTION("""COMPUTED_VALUE"""),"M/F")</f>
        <v>M/F</v>
      </c>
      <c r="F7" s="18"/>
      <c r="G7" s="18" t="str">
        <f>IFERROR(__xludf.DUMMYFUNCTION("""COMPUTED_VALUE"""),"Hero is a political analyst planning a mayoral run and the heroine's life is a mess. ")</f>
        <v>Hero is a political analyst planning a mayoral run and the heroine's life is a mess. </v>
      </c>
      <c r="H7" s="18" t="str">
        <f>IFERROR(__xludf.DUMMYFUNCTION("""COMPUTED_VALUE"""),"Single POV")</f>
        <v>Single POV</v>
      </c>
      <c r="I7" s="18" t="str">
        <f>IFERROR(__xludf.DUMMYFUNCTION("""COMPUTED_VALUE"""),"Contemporary, Romantic Comedy")</f>
        <v>Contemporary, Romantic Comedy</v>
      </c>
      <c r="J7" s="18" t="str">
        <f>IFERROR(__xludf.DUMMYFUNCTION("""COMPUTED_VALUE"""),"Billionaires/Millionaires/Gazillionaires etc, Class Differences, Fake Relationship, Forced Proximity, Grumpy/Sunshine, Opposites Attract, Political, Slow Burn")</f>
        <v>Billionaires/Millionaires/Gazillionaires etc, Class Differences, Fake Relationship, Forced Proximity, Grumpy/Sunshine, Opposites Attract, Political, Slow Burn</v>
      </c>
      <c r="K7" s="18" t="str">
        <f>IFERROR(__xludf.DUMMYFUNCTION("""COMPUTED_VALUE"""),"North America")</f>
        <v>North America</v>
      </c>
      <c r="L7" s="18" t="str">
        <f>IFERROR(__xludf.DUMMYFUNCTION("""COMPUTED_VALUE"""),"Level 3- Sexual content in a few chapters")</f>
        <v>Level 3- Sexual content in a few chapters</v>
      </c>
      <c r="M7" s="18" t="str">
        <f>IFERROR(__xludf.DUMMYFUNCTION("""COMPUTED_VALUE"""),"Dirty Talk")</f>
        <v>Dirty Talk</v>
      </c>
      <c r="N7" s="18" t="str">
        <f>IFERROR(__xludf.DUMMYFUNCTION("""COMPUTED_VALUE"""),"Standalone (not part of a series)")</f>
        <v>Standalone (not part of a series)</v>
      </c>
      <c r="O7" s="18"/>
      <c r="P7" s="18" t="str">
        <f>IFERROR(__xludf.DUMMYFUNCTION("""COMPUTED_VALUE"""),"Laugh, Feel feels")</f>
        <v>Laugh, Feel feels</v>
      </c>
      <c r="Q7" s="18" t="str">
        <f>IFERROR(__xludf.DUMMYFUNCTION("""COMPUTED_VALUE"""),"Abusive ex-boyfriend, incarcerated parent, boss/assistant relationship")</f>
        <v>Abusive ex-boyfriend, incarcerated parent, boss/assistant relationship</v>
      </c>
      <c r="R7" s="19" t="str">
        <f>IFERROR(__xludf.DUMMYFUNCTION("""COMPUTED_VALUE"""),"No")</f>
        <v>No</v>
      </c>
      <c r="S7" s="20" t="str">
        <f>IFERROR(__xludf.DUMMYFUNCTION("""COMPUTED_VALUE"""),"https://www.goodreads.com/en/book/show/60022022-honestly-i-m-totally-faking-it")</f>
        <v>https://www.goodreads.com/en/book/show/60022022-honestly-i-m-totally-faking-it</v>
      </c>
    </row>
    <row r="8">
      <c r="A8" s="16">
        <f>IFERROR(__xludf.DUMMYFUNCTION("""COMPUTED_VALUE"""),44780.57094622685)</f>
        <v>44780.57095</v>
      </c>
      <c r="B8" s="13" t="str">
        <f>IFERROR(__xludf.DUMMYFUNCTION("""COMPUTED_VALUE"""),"Add new entry")</f>
        <v>Add new entry</v>
      </c>
      <c r="C8" s="17" t="str">
        <f>IFERROR(__xludf.DUMMYFUNCTION("""COMPUTED_VALUE"""),"Contagion")</f>
        <v>Contagion</v>
      </c>
      <c r="D8" s="18" t="str">
        <f>IFERROR(__xludf.DUMMYFUNCTION("""COMPUTED_VALUE"""),"Amanda Milo")</f>
        <v>Amanda Milo</v>
      </c>
      <c r="E8" s="18" t="str">
        <f>IFERROR(__xludf.DUMMYFUNCTION("""COMPUTED_VALUE"""),"M/F")</f>
        <v>M/F</v>
      </c>
      <c r="F8" s="18"/>
      <c r="G8" s="18"/>
      <c r="H8" s="18"/>
      <c r="I8" s="18" t="str">
        <f>IFERROR(__xludf.DUMMYFUNCTION("""COMPUTED_VALUE"""),"Science Fiction &amp; Alien")</f>
        <v>Science Fiction &amp; Alien</v>
      </c>
      <c r="J8" s="18" t="str">
        <f>IFERROR(__xludf.DUMMYFUNCTION("""COMPUTED_VALUE"""),"Creatures or Monsters- Dragon/Orc/Fae/etc, Forced Proximity, Friends-to-lovers, Geek/Nerd/Misfit/Genius, Sweet MC- beta hero/kindhearted heroine/etc")</f>
        <v>Creatures or Monsters- Dragon/Orc/Fae/etc, Forced Proximity, Friends-to-lovers, Geek/Nerd/Misfit/Genius, Sweet MC- beta hero/kindhearted heroine/etc</v>
      </c>
      <c r="K8" s="18"/>
      <c r="L8" s="18" t="str">
        <f>IFERROR(__xludf.DUMMYFUNCTION("""COMPUTED_VALUE"""),"Level 3- Sexual content in a few chapters")</f>
        <v>Level 3- Sexual content in a few chapters</v>
      </c>
      <c r="M8" s="18"/>
      <c r="N8" s="18"/>
      <c r="O8" s="18"/>
      <c r="P8" s="18" t="str">
        <f>IFERROR(__xludf.DUMMYFUNCTION("""COMPUTED_VALUE"""),"Laugh")</f>
        <v>Laugh</v>
      </c>
      <c r="Q8" s="18"/>
      <c r="R8" s="19" t="str">
        <f>IFERROR(__xludf.DUMMYFUNCTION("""COMPUTED_VALUE"""),"No")</f>
        <v>No</v>
      </c>
      <c r="S8" s="20" t="str">
        <f>IFERROR(__xludf.DUMMYFUNCTION("""COMPUTED_VALUE"""),"https://www.goodreads.com/book/show/48567611-contagion")</f>
        <v>https://www.goodreads.com/book/show/48567611-contagion</v>
      </c>
    </row>
    <row r="9">
      <c r="A9" s="16">
        <f>IFERROR(__xludf.DUMMYFUNCTION("""COMPUTED_VALUE"""),44780.5729433449)</f>
        <v>44780.57294</v>
      </c>
      <c r="B9" s="13" t="str">
        <f>IFERROR(__xludf.DUMMYFUNCTION("""COMPUTED_VALUE"""),"Add new entry")</f>
        <v>Add new entry</v>
      </c>
      <c r="C9" s="17" t="str">
        <f>IFERROR(__xludf.DUMMYFUNCTION("""COMPUTED_VALUE"""),"The (Alien) Nanny for Christmas")</f>
        <v>The (Alien) Nanny for Christmas</v>
      </c>
      <c r="D9" s="18" t="str">
        <f>IFERROR(__xludf.DUMMYFUNCTION("""COMPUTED_VALUE"""),"Amanda Milo")</f>
        <v>Amanda Milo</v>
      </c>
      <c r="E9" s="18" t="str">
        <f>IFERROR(__xludf.DUMMYFUNCTION("""COMPUTED_VALUE"""),"M/F")</f>
        <v>M/F</v>
      </c>
      <c r="F9" s="18"/>
      <c r="G9" s="18"/>
      <c r="H9" s="18" t="str">
        <f>IFERROR(__xludf.DUMMYFUNCTION("""COMPUTED_VALUE"""),"Dual POV")</f>
        <v>Dual POV</v>
      </c>
      <c r="I9" s="18" t="str">
        <f>IFERROR(__xludf.DUMMYFUNCTION("""COMPUTED_VALUE"""),"Science Fiction &amp; Alien")</f>
        <v>Science Fiction &amp; Alien</v>
      </c>
      <c r="J9" s="18" t="str">
        <f>IFERROR(__xludf.DUMMYFUNCTION("""COMPUTED_VALUE"""),"Caretaker/Nanny/Governess, Creatures or Monsters- Dragon/Orc/Fae/etc, Holidays, Novella or Short Story, Single Parent")</f>
        <v>Caretaker/Nanny/Governess, Creatures or Monsters- Dragon/Orc/Fae/etc, Holidays, Novella or Short Story, Single Parent</v>
      </c>
      <c r="K9" s="18"/>
      <c r="L9" s="18" t="str">
        <f>IFERROR(__xludf.DUMMYFUNCTION("""COMPUTED_VALUE"""),"Level 3- Sexual content in a few chapters")</f>
        <v>Level 3- Sexual content in a few chapters</v>
      </c>
      <c r="M9" s="18"/>
      <c r="N9" s="18"/>
      <c r="O9" s="18"/>
      <c r="P9" s="18"/>
      <c r="Q9" s="18"/>
      <c r="R9" s="19" t="str">
        <f>IFERROR(__xludf.DUMMYFUNCTION("""COMPUTED_VALUE"""),"No")</f>
        <v>No</v>
      </c>
      <c r="S9" s="20" t="str">
        <f>IFERROR(__xludf.DUMMYFUNCTION("""COMPUTED_VALUE"""),"https://www.goodreads.com/book/show/43194302-the-alien-nanny-for-christmas")</f>
        <v>https://www.goodreads.com/book/show/43194302-the-alien-nanny-for-christmas</v>
      </c>
    </row>
    <row r="10">
      <c r="A10" s="16">
        <f>IFERROR(__xludf.DUMMYFUNCTION("""COMPUTED_VALUE"""),44780.57633586805)</f>
        <v>44780.57634</v>
      </c>
      <c r="B10" s="13" t="str">
        <f>IFERROR(__xludf.DUMMYFUNCTION("""COMPUTED_VALUE"""),"Add new entry")</f>
        <v>Add new entry</v>
      </c>
      <c r="C10" s="17" t="str">
        <f>IFERROR(__xludf.DUMMYFUNCTION("""COMPUTED_VALUE"""),"To Desire A Dragon")</f>
        <v>To Desire A Dragon</v>
      </c>
      <c r="D10" s="18" t="str">
        <f>IFERROR(__xludf.DUMMYFUNCTION("""COMPUTED_VALUE"""),"Amanda Milo")</f>
        <v>Amanda Milo</v>
      </c>
      <c r="E10" s="18" t="str">
        <f>IFERROR(__xludf.DUMMYFUNCTION("""COMPUTED_VALUE"""),"M/F")</f>
        <v>M/F</v>
      </c>
      <c r="F10" s="18"/>
      <c r="G10" s="18"/>
      <c r="H10" s="18" t="str">
        <f>IFERROR(__xludf.DUMMYFUNCTION("""COMPUTED_VALUE"""),"Dual POV")</f>
        <v>Dual POV</v>
      </c>
      <c r="I10" s="18" t="str">
        <f>IFERROR(__xludf.DUMMYFUNCTION("""COMPUTED_VALUE"""),"Fantasy &amp; Gothic")</f>
        <v>Fantasy &amp; Gothic</v>
      </c>
      <c r="J10" s="18" t="str">
        <f>IFERROR(__xludf.DUMMYFUNCTION("""COMPUTED_VALUE"""),"Creatures or Monsters- Dragon/Orc/Fae/etc, Fated Mates, Novella or Short Story")</f>
        <v>Creatures or Monsters- Dragon/Orc/Fae/etc, Fated Mates, Novella or Short Story</v>
      </c>
      <c r="K10" s="18"/>
      <c r="L10" s="18" t="str">
        <f>IFERROR(__xludf.DUMMYFUNCTION("""COMPUTED_VALUE"""),"Level 4- Heavy sexual content, mature audiences only")</f>
        <v>Level 4- Heavy sexual content, mature audiences only</v>
      </c>
      <c r="M10" s="18"/>
      <c r="N10" s="18" t="str">
        <f>IFERROR(__xludf.DUMMYFUNCTION("""COMPUTED_VALUE"""),"Standalone (not part of a series)")</f>
        <v>Standalone (not part of a series)</v>
      </c>
      <c r="O10" s="18"/>
      <c r="P10" s="18" t="str">
        <f>IFERROR(__xludf.DUMMYFUNCTION("""COMPUTED_VALUE"""),"Laugh, Smolder")</f>
        <v>Laugh, Smolder</v>
      </c>
      <c r="Q10" s="18" t="str">
        <f>IFERROR(__xludf.DUMMYFUNCTION("""COMPUTED_VALUE"""),"Dub con (cultural) references to sexual slavery")</f>
        <v>Dub con (cultural) references to sexual slavery</v>
      </c>
      <c r="R10" s="19" t="str">
        <f>IFERROR(__xludf.DUMMYFUNCTION("""COMPUTED_VALUE"""),"No")</f>
        <v>No</v>
      </c>
      <c r="S10" s="20" t="str">
        <f>IFERROR(__xludf.DUMMYFUNCTION("""COMPUTED_VALUE"""),"https://www.goodreads.com/book/show/53491945-to-desire-a-dragon")</f>
        <v>https://www.goodreads.com/book/show/53491945-to-desire-a-dragon</v>
      </c>
    </row>
    <row r="11">
      <c r="A11" s="16">
        <f>IFERROR(__xludf.DUMMYFUNCTION("""COMPUTED_VALUE"""),44932.93018304398)</f>
        <v>44932.93018</v>
      </c>
      <c r="B11" s="13" t="str">
        <f>IFERROR(__xludf.DUMMYFUNCTION("""COMPUTED_VALUE"""),"Add new entry")</f>
        <v>Add new entry</v>
      </c>
      <c r="C11" s="17" t="str">
        <f>IFERROR(__xludf.DUMMYFUNCTION("""COMPUTED_VALUE"""),"Into The North")</f>
        <v>Into The North</v>
      </c>
      <c r="D11" s="18" t="str">
        <f>IFERROR(__xludf.DUMMYFUNCTION("""COMPUTED_VALUE"""),"Amber Huxley")</f>
        <v>Amber Huxley</v>
      </c>
      <c r="E11" s="18" t="str">
        <f>IFERROR(__xludf.DUMMYFUNCTION("""COMPUTED_VALUE"""),"M/M")</f>
        <v>M/M</v>
      </c>
      <c r="F11" s="18" t="str">
        <f>IFERROR(__xludf.DUMMYFUNCTION("""COMPUTED_VALUE"""),"LGBTQIA+ &amp; GSM (Gender and Sexual Minorities)")</f>
        <v>LGBTQIA+ &amp; GSM (Gender and Sexual Minorities)</v>
      </c>
      <c r="G11" s="18"/>
      <c r="H11" s="18" t="str">
        <f>IFERROR(__xludf.DUMMYFUNCTION("""COMPUTED_VALUE"""),"Dual POV")</f>
        <v>Dual POV</v>
      </c>
      <c r="I11" s="18" t="str">
        <f>IFERROR(__xludf.DUMMYFUNCTION("""COMPUTED_VALUE"""),"Dark, Historical Romance, Multicultural/Interracial")</f>
        <v>Dark, Historical Romance, Multicultural/Interracial</v>
      </c>
      <c r="J11" s="18" t="str">
        <f>IFERROR(__xludf.DUMMYFUNCTION("""COMPUTED_VALUE"""),"Angst, Enemies-to-lovers (or dislike-to-love), Forced Proximity")</f>
        <v>Angst, Enemies-to-lovers (or dislike-to-love), Forced Proximity</v>
      </c>
      <c r="K11" s="18"/>
      <c r="L11" s="18" t="str">
        <f>IFERROR(__xludf.DUMMYFUNCTION("""COMPUTED_VALUE"""),"Level 4- Heavy sexual content, mature audiences only")</f>
        <v>Level 4- Heavy sexual content, mature audiences only</v>
      </c>
      <c r="M11" s="18"/>
      <c r="N11" s="18" t="str">
        <f>IFERROR(__xludf.DUMMYFUNCTION("""COMPUTED_VALUE"""),"Standalone (not part of a series)")</f>
        <v>Standalone (not part of a series)</v>
      </c>
      <c r="O11" s="18"/>
      <c r="P11" s="18" t="str">
        <f>IFERROR(__xludf.DUMMYFUNCTION("""COMPUTED_VALUE"""),"Cry, Rage, Feel feels")</f>
        <v>Cry, Rage, Feel feels</v>
      </c>
      <c r="Q11" s="18" t="str">
        <f>IFERROR(__xludf.DUMMYFUNCTION("""COMPUTED_VALUE"""),"slavery, power imbalance, violence, war")</f>
        <v>slavery, power imbalance, violence, war</v>
      </c>
      <c r="R11" s="19" t="str">
        <f>IFERROR(__xludf.DUMMYFUNCTION("""COMPUTED_VALUE"""),"No")</f>
        <v>No</v>
      </c>
      <c r="S11" s="20" t="str">
        <f>IFERROR(__xludf.DUMMYFUNCTION("""COMPUTED_VALUE"""),"https://www.goodreads.com/book/show/63231447-into-the-north?ac=1&amp;from_search=true&amp;qid=LRhuOEMkdi&amp;rank=3")</f>
        <v>https://www.goodreads.com/book/show/63231447-into-the-north?ac=1&amp;from_search=true&amp;qid=LRhuOEMkdi&amp;rank=3</v>
      </c>
    </row>
    <row r="12">
      <c r="A12" s="16">
        <f>IFERROR(__xludf.DUMMYFUNCTION("""COMPUTED_VALUE"""),44780.578533657404)</f>
        <v>44780.57853</v>
      </c>
      <c r="B12" s="13" t="str">
        <f>IFERROR(__xludf.DUMMYFUNCTION("""COMPUTED_VALUE"""),"Add new entry")</f>
        <v>Add new entry</v>
      </c>
      <c r="C12" s="17" t="str">
        <f>IFERROR(__xludf.DUMMYFUNCTION("""COMPUTED_VALUE"""),"Flip Trick")</f>
        <v>Flip Trick</v>
      </c>
      <c r="D12" s="18" t="str">
        <f>IFERROR(__xludf.DUMMYFUNCTION("""COMPUTED_VALUE"""),"Amo Jones")</f>
        <v>Amo Jones</v>
      </c>
      <c r="E12" s="18" t="str">
        <f>IFERROR(__xludf.DUMMYFUNCTION("""COMPUTED_VALUE"""),"M/F")</f>
        <v>M/F</v>
      </c>
      <c r="F12" s="18"/>
      <c r="G12" s="18"/>
      <c r="H12" s="18" t="str">
        <f>IFERROR(__xludf.DUMMYFUNCTION("""COMPUTED_VALUE"""),"Dual POV")</f>
        <v>Dual POV</v>
      </c>
      <c r="I12" s="18" t="str">
        <f>IFERROR(__xludf.DUMMYFUNCTION("""COMPUTED_VALUE"""),"Contemporary, Sports Romance")</f>
        <v>Contemporary, Sports Romance</v>
      </c>
      <c r="J12" s="18" t="str">
        <f>IFERROR(__xludf.DUMMYFUNCTION("""COMPUTED_VALUE"""),"Angst, Bully/Reformed Bully, Fake Relationship, Forbidden or Taboo, Insta-lust/Insta-love/Insta-coffee, Off Limits (ie; Brother's Best Friend)")</f>
        <v>Angst, Bully/Reformed Bully, Fake Relationship, Forbidden or Taboo, Insta-lust/Insta-love/Insta-coffee, Off Limits (ie; Brother's Best Friend)</v>
      </c>
      <c r="K12" s="18"/>
      <c r="L12" s="18" t="str">
        <f>IFERROR(__xludf.DUMMYFUNCTION("""COMPUTED_VALUE"""),"Level 4- Heavy sexual content, mature audiences only")</f>
        <v>Level 4- Heavy sexual content, mature audiences only</v>
      </c>
      <c r="M12" s="18"/>
      <c r="N12" s="18" t="str">
        <f>IFERROR(__xludf.DUMMYFUNCTION("""COMPUTED_VALUE"""),"Standalone (not part of a series)")</f>
        <v>Standalone (not part of a series)</v>
      </c>
      <c r="O12" s="18"/>
      <c r="P12" s="18" t="str">
        <f>IFERROR(__xludf.DUMMYFUNCTION("""COMPUTED_VALUE"""),"Laugh, Feel feels")</f>
        <v>Laugh, Feel feels</v>
      </c>
      <c r="Q12" s="18"/>
      <c r="R12" s="19" t="str">
        <f>IFERROR(__xludf.DUMMYFUNCTION("""COMPUTED_VALUE"""),"No")</f>
        <v>No</v>
      </c>
      <c r="S12" s="20" t="str">
        <f>IFERROR(__xludf.DUMMYFUNCTION("""COMPUTED_VALUE"""),"https://www.goodreads.com/book/show/40846776-flip-trick")</f>
        <v>https://www.goodreads.com/book/show/40846776-flip-trick</v>
      </c>
    </row>
    <row r="13">
      <c r="A13" s="16">
        <f>IFERROR(__xludf.DUMMYFUNCTION("""COMPUTED_VALUE"""),44780.58452123842)</f>
        <v>44780.58452</v>
      </c>
      <c r="B13" s="13" t="str">
        <f>IFERROR(__xludf.DUMMYFUNCTION("""COMPUTED_VALUE"""),"Add new entry")</f>
        <v>Add new entry</v>
      </c>
      <c r="C13" s="17" t="str">
        <f>IFERROR(__xludf.DUMMYFUNCTION("""COMPUTED_VALUE"""),"Blindsided")</f>
        <v>Blindsided</v>
      </c>
      <c r="D13" s="18" t="str">
        <f>IFERROR(__xludf.DUMMYFUNCTION("""COMPUTED_VALUE"""),"Amy Daws")</f>
        <v>Amy Daws</v>
      </c>
      <c r="E13" s="18" t="str">
        <f>IFERROR(__xludf.DUMMYFUNCTION("""COMPUTED_VALUE"""),"M/F")</f>
        <v>M/F</v>
      </c>
      <c r="F13" s="18"/>
      <c r="G13" s="18"/>
      <c r="H13" s="18" t="str">
        <f>IFERROR(__xludf.DUMMYFUNCTION("""COMPUTED_VALUE"""),"Dual POV, First person")</f>
        <v>Dual POV, First person</v>
      </c>
      <c r="I13" s="18" t="str">
        <f>IFERROR(__xludf.DUMMYFUNCTION("""COMPUTED_VALUE"""),"Contemporary, Romantic Comedy")</f>
        <v>Contemporary, Romantic Comedy</v>
      </c>
      <c r="J13" s="18" t="str">
        <f>IFERROR(__xludf.DUMMYFUNCTION("""COMPUTED_VALUE"""),"Friends-to-lovers, Relationship Coach-  (ie; Teach me how to kiss), Slow Burn")</f>
        <v>Friends-to-lovers, Relationship Coach-  (ie; Teach me how to kiss), Slow Burn</v>
      </c>
      <c r="K13" s="18"/>
      <c r="L13" s="18" t="str">
        <f>IFERROR(__xludf.DUMMYFUNCTION("""COMPUTED_VALUE"""),"Level 3- Sexual content in a few chapters")</f>
        <v>Level 3- Sexual content in a few chapters</v>
      </c>
      <c r="M13" s="18"/>
      <c r="N13" s="18" t="str">
        <f>IFERROR(__xludf.DUMMYFUNCTION("""COMPUTED_VALUE"""),"Standalone (not part of a series)")</f>
        <v>Standalone (not part of a series)</v>
      </c>
      <c r="O13" s="18"/>
      <c r="P13" s="18" t="str">
        <f>IFERROR(__xludf.DUMMYFUNCTION("""COMPUTED_VALUE"""),"Tingle, Laugh, Feel feels")</f>
        <v>Tingle, Laugh, Feel feels</v>
      </c>
      <c r="Q13" s="18"/>
      <c r="R13" s="19" t="str">
        <f>IFERROR(__xludf.DUMMYFUNCTION("""COMPUTED_VALUE"""),"No")</f>
        <v>No</v>
      </c>
      <c r="S13" s="20" t="str">
        <f>IFERROR(__xludf.DUMMYFUNCTION("""COMPUTED_VALUE"""),"https://www.goodreads.com/book/show/52602989-blindsided")</f>
        <v>https://www.goodreads.com/book/show/52602989-blindsided</v>
      </c>
    </row>
    <row r="14">
      <c r="A14" s="16">
        <f>IFERROR(__xludf.DUMMYFUNCTION("""COMPUTED_VALUE"""),44780.58640357639)</f>
        <v>44780.5864</v>
      </c>
      <c r="B14" s="13" t="str">
        <f>IFERROR(__xludf.DUMMYFUNCTION("""COMPUTED_VALUE"""),"Add new entry")</f>
        <v>Add new entry</v>
      </c>
      <c r="C14" s="17" t="str">
        <f>IFERROR(__xludf.DUMMYFUNCTION("""COMPUTED_VALUE"""),"What The Wind Knows")</f>
        <v>What The Wind Knows</v>
      </c>
      <c r="D14" s="18" t="str">
        <f>IFERROR(__xludf.DUMMYFUNCTION("""COMPUTED_VALUE"""),"Amy Harmon")</f>
        <v>Amy Harmon</v>
      </c>
      <c r="E14" s="18" t="str">
        <f>IFERROR(__xludf.DUMMYFUNCTION("""COMPUTED_VALUE"""),"M/F")</f>
        <v>M/F</v>
      </c>
      <c r="F14" s="18"/>
      <c r="G14" s="18"/>
      <c r="H14" s="18"/>
      <c r="I14" s="18" t="str">
        <f>IFERROR(__xludf.DUMMYFUNCTION("""COMPUTED_VALUE"""),"Historical Romance")</f>
        <v>Historical Romance</v>
      </c>
      <c r="J14" s="18" t="str">
        <f>IFERROR(__xludf.DUMMYFUNCTION("""COMPUTED_VALUE"""),"Enemies-to-lovers (or dislike-to-love), Medical- Doctor/Nurse/Vet etc, Time Travel")</f>
        <v>Enemies-to-lovers (or dislike-to-love), Medical- Doctor/Nurse/Vet etc, Time Travel</v>
      </c>
      <c r="K14" s="18"/>
      <c r="L14" s="18" t="str">
        <f>IFERROR(__xludf.DUMMYFUNCTION("""COMPUTED_VALUE"""),"Level 2- Kisses and foreplay, everything else closed door")</f>
        <v>Level 2- Kisses and foreplay, everything else closed door</v>
      </c>
      <c r="M14" s="18"/>
      <c r="N14" s="18" t="str">
        <f>IFERROR(__xludf.DUMMYFUNCTION("""COMPUTED_VALUE"""),"Standalone (not part of a series)")</f>
        <v>Standalone (not part of a series)</v>
      </c>
      <c r="O14" s="18"/>
      <c r="P14" s="18" t="str">
        <f>IFERROR(__xludf.DUMMYFUNCTION("""COMPUTED_VALUE"""),"Swoon, Tingle, Cry, Feel feels, Learn, Inspired, Transported")</f>
        <v>Swoon, Tingle, Cry, Feel feels, Learn, Inspired, Transported</v>
      </c>
      <c r="Q14" s="18"/>
      <c r="R14" s="19" t="str">
        <f>IFERROR(__xludf.DUMMYFUNCTION("""COMPUTED_VALUE"""),"No")</f>
        <v>No</v>
      </c>
      <c r="S14" s="20" t="str">
        <f>IFERROR(__xludf.DUMMYFUNCTION("""COMPUTED_VALUE"""),"https://www.goodreads.com/book/show/40407141-what-the-wind-knows")</f>
        <v>https://www.goodreads.com/book/show/40407141-what-the-wind-knows</v>
      </c>
    </row>
    <row r="15">
      <c r="A15" s="16">
        <f>IFERROR(__xludf.DUMMYFUNCTION("""COMPUTED_VALUE"""),44932.978280428244)</f>
        <v>44932.97828</v>
      </c>
      <c r="B15" s="13" t="str">
        <f>IFERROR(__xludf.DUMMYFUNCTION("""COMPUTED_VALUE"""),"Add new entry")</f>
        <v>Add new entry</v>
      </c>
      <c r="C15" s="17" t="str">
        <f>IFERROR(__xludf.DUMMYFUNCTION("""COMPUTED_VALUE"""),"Lords of Pain ")</f>
        <v>Lords of Pain </v>
      </c>
      <c r="D15" s="18" t="str">
        <f>IFERROR(__xludf.DUMMYFUNCTION("""COMPUTED_VALUE"""),"Angel Lawson &amp; Samantha Rue ")</f>
        <v>Angel Lawson &amp; Samantha Rue </v>
      </c>
      <c r="E15" s="18" t="str">
        <f>IFERROR(__xludf.DUMMYFUNCTION("""COMPUTED_VALUE"""),"MMMF")</f>
        <v>MMMF</v>
      </c>
      <c r="F15" s="18"/>
      <c r="G15" s="18"/>
      <c r="H15" s="18" t="str">
        <f>IFERROR(__xludf.DUMMYFUNCTION("""COMPUTED_VALUE"""),"Multiple POV's - all main characters ")</f>
        <v>Multiple POV's - all main characters </v>
      </c>
      <c r="I15" s="18" t="str">
        <f>IFERROR(__xludf.DUMMYFUNCTION("""COMPUTED_VALUE"""),"Contemporary, Dark, Gothic, New Adult (NA)")</f>
        <v>Contemporary, Dark, Gothic, New Adult (NA)</v>
      </c>
      <c r="J15" s="18" t="str">
        <f>IFERROR(__xludf.DUMMYFUNCTION("""COMPUTED_VALUE"""),"Antihero/Villian/Stockholm Syndrome, Angst, BDSM or Kink, Bully/Reformed Bully, Enemies-to-lovers (or dislike-to-love), Forbidden or Taboo, Forced Proximity, Reverse Harem/Why Choose, Tattoos &amp; Piercings")</f>
        <v>Antihero/Villian/Stockholm Syndrome, Angst, BDSM or Kink, Bully/Reformed Bully, Enemies-to-lovers (or dislike-to-love), Forbidden or Taboo, Forced Proximity, Reverse Harem/Why Choose, Tattoos &amp; Piercings</v>
      </c>
      <c r="K15" s="18" t="str">
        <f>IFERROR(__xludf.DUMMYFUNCTION("""COMPUTED_VALUE"""),"North America")</f>
        <v>North America</v>
      </c>
      <c r="L15" s="18" t="str">
        <f>IFERROR(__xludf.DUMMYFUNCTION("""COMPUTED_VALUE"""),"Level 4- Heavy sexual content, mature audiences only")</f>
        <v>Level 4- Heavy sexual content, mature audiences only</v>
      </c>
      <c r="M15" s="18" t="str">
        <f>IFERROR(__xludf.DUMMYFUNCTION("""COMPUTED_VALUE"""),"Anal sex, Blood Play, CNC (Consensual Non Consent), Cock pocket, Cum Fetish, Dirty Talk, Double Penetration, Edging/Orgasm Denial, Exhibitionism, Knife Play, Oral sex - cunnilingus, Oral sex - fellatio, PIV sex (penis in vagina), Somnophilia, Voyeurism")</f>
        <v>Anal sex, Blood Play, CNC (Consensual Non Consent), Cock pocket, Cum Fetish, Dirty Talk, Double Penetration, Edging/Orgasm Denial, Exhibitionism, Knife Play, Oral sex - cunnilingus, Oral sex - fellatio, PIV sex (penis in vagina), Somnophilia, Voyeurism</v>
      </c>
      <c r="N15" s="18" t="str">
        <f>IFERROR(__xludf.DUMMYFUNCTION("""COMPUTED_VALUE"""),"Series- must be read in order")</f>
        <v>Series- must be read in order</v>
      </c>
      <c r="O15" s="18" t="str">
        <f>IFERROR(__xludf.DUMMYFUNCTION("""COMPUTED_VALUE"""),"The Royals of Forsyth University ")</f>
        <v>The Royals of Forsyth University </v>
      </c>
      <c r="P15" s="18" t="str">
        <f>IFERROR(__xludf.DUMMYFUNCTION("""COMPUTED_VALUE"""),"Tingle, Smolder")</f>
        <v>Tingle, Smolder</v>
      </c>
      <c r="Q15" s="18" t="str">
        <f>IFERROR(__xludf.DUMMYFUNCTION("""COMPUTED_VALUE"""),"stalking, sexual assault, dubious consent, suicide ideation, murder, prostitution, drugs, non-consent")</f>
        <v>stalking, sexual assault, dubious consent, suicide ideation, murder, prostitution, drugs, non-consent</v>
      </c>
      <c r="R15" s="19" t="str">
        <f>IFERROR(__xludf.DUMMYFUNCTION("""COMPUTED_VALUE"""),"No")</f>
        <v>No</v>
      </c>
      <c r="S15" s="20" t="str">
        <f>IFERROR(__xludf.DUMMYFUNCTION("""COMPUTED_VALUE"""),"https://www.goodreads.com/book/show/56986379-lords-of-pain?from_search=true&amp;from_srp=true&amp;qid=HdL9YJtnoZ&amp;rank=1")</f>
        <v>https://www.goodreads.com/book/show/56986379-lords-of-pain?from_search=true&amp;from_srp=true&amp;qid=HdL9YJtnoZ&amp;rank=1</v>
      </c>
    </row>
    <row r="16">
      <c r="A16" s="16">
        <f>IFERROR(__xludf.DUMMYFUNCTION("""COMPUTED_VALUE"""),44780.59293142361)</f>
        <v>44780.59293</v>
      </c>
      <c r="B16" s="13" t="str">
        <f>IFERROR(__xludf.DUMMYFUNCTION("""COMPUTED_VALUE"""),"Add new entry")</f>
        <v>Add new entry</v>
      </c>
      <c r="C16" s="17" t="str">
        <f>IFERROR(__xludf.DUMMYFUNCTION("""COMPUTED_VALUE"""),"Love is Blind")</f>
        <v>Love is Blind</v>
      </c>
      <c r="D16" s="18" t="str">
        <f>IFERROR(__xludf.DUMMYFUNCTION("""COMPUTED_VALUE"""),"Annabelle Costa")</f>
        <v>Annabelle Costa</v>
      </c>
      <c r="E16" s="18" t="str">
        <f>IFERROR(__xludf.DUMMYFUNCTION("""COMPUTED_VALUE"""),"M/F")</f>
        <v>M/F</v>
      </c>
      <c r="F16" s="18" t="str">
        <f>IFERROR(__xludf.DUMMYFUNCTION("""COMPUTED_VALUE"""),"Neurodivergent (Autism, ADHD, dyspraxia, dyslexia, etc), Physical disability or illness, Mental disability or illness")</f>
        <v>Neurodivergent (Autism, ADHD, dyspraxia, dyslexia, etc), Physical disability or illness, Mental disability or illness</v>
      </c>
      <c r="G16" s="18"/>
      <c r="H16" s="18"/>
      <c r="I16" s="18" t="str">
        <f>IFERROR(__xludf.DUMMYFUNCTION("""COMPUTED_VALUE"""),"Contemporary")</f>
        <v>Contemporary</v>
      </c>
      <c r="J16" s="18" t="str">
        <f>IFERROR(__xludf.DUMMYFUNCTION("""COMPUTED_VALUE"""),"placeholder")</f>
        <v>placeholder</v>
      </c>
      <c r="K16" s="18"/>
      <c r="L16" s="18" t="str">
        <f>IFERROR(__xludf.DUMMYFUNCTION("""COMPUTED_VALUE"""),"Level 2- Kisses and foreplay, everything else closed door")</f>
        <v>Level 2- Kisses and foreplay, everything else closed door</v>
      </c>
      <c r="M16" s="18"/>
      <c r="N16" s="18"/>
      <c r="O16" s="18"/>
      <c r="P16" s="18" t="str">
        <f>IFERROR(__xludf.DUMMYFUNCTION("""COMPUTED_VALUE"""),"Swoon, Cry, Feel feels, Learn")</f>
        <v>Swoon, Cry, Feel feels, Learn</v>
      </c>
      <c r="Q16" s="18" t="str">
        <f>IFERROR(__xludf.DUMMYFUNCTION("""COMPUTED_VALUE"""),"Mentions of war (male MC is a veteran)")</f>
        <v>Mentions of war (male MC is a veteran)</v>
      </c>
      <c r="R16" s="19" t="str">
        <f>IFERROR(__xludf.DUMMYFUNCTION("""COMPUTED_VALUE"""),"No")</f>
        <v>No</v>
      </c>
      <c r="S16" s="20" t="str">
        <f>IFERROR(__xludf.DUMMYFUNCTION("""COMPUTED_VALUE"""),"https://www.goodreads.com/book/show/43483442-love-is-blind")</f>
        <v>https://www.goodreads.com/book/show/43483442-love-is-blind</v>
      </c>
    </row>
    <row r="17">
      <c r="A17" s="16">
        <f>IFERROR(__xludf.DUMMYFUNCTION("""COMPUTED_VALUE"""),44780.59631141204)</f>
        <v>44780.59631</v>
      </c>
      <c r="B17" s="13" t="str">
        <f>IFERROR(__xludf.DUMMYFUNCTION("""COMPUTED_VALUE"""),"Add new entry")</f>
        <v>Add new entry</v>
      </c>
      <c r="C17" s="17" t="str">
        <f>IFERROR(__xludf.DUMMYFUNCTION("""COMPUTED_VALUE"""),"Taming Demons for Beginners")</f>
        <v>Taming Demons for Beginners</v>
      </c>
      <c r="D17" s="18" t="str">
        <f>IFERROR(__xludf.DUMMYFUNCTION("""COMPUTED_VALUE"""),"Annette Marie")</f>
        <v>Annette Marie</v>
      </c>
      <c r="E17" s="18" t="str">
        <f>IFERROR(__xludf.DUMMYFUNCTION("""COMPUTED_VALUE"""),"M/F")</f>
        <v>M/F</v>
      </c>
      <c r="F17" s="18"/>
      <c r="G17" s="18"/>
      <c r="H17" s="18" t="str">
        <f>IFERROR(__xludf.DUMMYFUNCTION("""COMPUTED_VALUE"""),"Single POV")</f>
        <v>Single POV</v>
      </c>
      <c r="I17" s="18" t="str">
        <f>IFERROR(__xludf.DUMMYFUNCTION("""COMPUTED_VALUE"""),"Paranormal, New Adult (NA)")</f>
        <v>Paranormal, New Adult (NA)</v>
      </c>
      <c r="J17" s="18" t="str">
        <f>IFERROR(__xludf.DUMMYFUNCTION("""COMPUTED_VALUE"""),"Angel &amp; Demon etc, Creatures or Monsters- Dragon/Orc/Fae/etc, Slow Burn, Witch/Wizard/Warlock etc")</f>
        <v>Angel &amp; Demon etc, Creatures or Monsters- Dragon/Orc/Fae/etc, Slow Burn, Witch/Wizard/Warlock etc</v>
      </c>
      <c r="K17" s="18"/>
      <c r="L17" s="18" t="str">
        <f>IFERROR(__xludf.DUMMYFUNCTION("""COMPUTED_VALUE"""),"Level 1- Kisses only, no mention of sex")</f>
        <v>Level 1- Kisses only, no mention of sex</v>
      </c>
      <c r="M17" s="18"/>
      <c r="N17" s="18"/>
      <c r="O17" s="18" t="str">
        <f>IFERROR(__xludf.DUMMYFUNCTION("""COMPUTED_VALUE"""),"The Guild Codex: Demonised #1")</f>
        <v>The Guild Codex: Demonised #1</v>
      </c>
      <c r="P17" s="18"/>
      <c r="Q17" s="18"/>
      <c r="R17" s="19" t="str">
        <f>IFERROR(__xludf.DUMMYFUNCTION("""COMPUTED_VALUE"""),"No")</f>
        <v>No</v>
      </c>
      <c r="S17" s="20" t="str">
        <f>IFERROR(__xludf.DUMMYFUNCTION("""COMPUTED_VALUE"""),"https://www.goodreads.com/book/show/44932446-taming-demons-for-beginners")</f>
        <v>https://www.goodreads.com/book/show/44932446-taming-demons-for-beginners</v>
      </c>
    </row>
    <row r="18">
      <c r="A18" s="16">
        <f>IFERROR(__xludf.DUMMYFUNCTION("""COMPUTED_VALUE"""),44780.59900043981)</f>
        <v>44780.599</v>
      </c>
      <c r="B18" s="13" t="str">
        <f>IFERROR(__xludf.DUMMYFUNCTION("""COMPUTED_VALUE"""),"Add new entry")</f>
        <v>Add new entry</v>
      </c>
      <c r="C18" s="17" t="str">
        <f>IFERROR(__xludf.DUMMYFUNCTION("""COMPUTED_VALUE"""),"Leo Loves Aries")</f>
        <v>Leo Loves Aries</v>
      </c>
      <c r="D18" s="18" t="str">
        <f>IFERROR(__xludf.DUMMYFUNCTION("""COMPUTED_VALUE"""),"Anyta Sunday")</f>
        <v>Anyta Sunday</v>
      </c>
      <c r="E18" s="18" t="str">
        <f>IFERROR(__xludf.DUMMYFUNCTION("""COMPUTED_VALUE"""),"M/M")</f>
        <v>M/M</v>
      </c>
      <c r="F18" s="18" t="str">
        <f>IFERROR(__xludf.DUMMYFUNCTION("""COMPUTED_VALUE"""),"LGBTQIA+ &amp; GSM (Gender and Sexual Minorities)")</f>
        <v>LGBTQIA+ &amp; GSM (Gender and Sexual Minorities)</v>
      </c>
      <c r="G18" s="18"/>
      <c r="H18" s="18" t="str">
        <f>IFERROR(__xludf.DUMMYFUNCTION("""COMPUTED_VALUE"""),"Single POV")</f>
        <v>Single POV</v>
      </c>
      <c r="I18" s="18" t="str">
        <f>IFERROR(__xludf.DUMMYFUNCTION("""COMPUTED_VALUE"""),"Contemporary")</f>
        <v>Contemporary</v>
      </c>
      <c r="J18" s="18" t="str">
        <f>IFERROR(__xludf.DUMMYFUNCTION("""COMPUTED_VALUE"""),"Angst, Forced Proximity, Friends-to-lovers, Slow Burn")</f>
        <v>Angst, Forced Proximity, Friends-to-lovers, Slow Burn</v>
      </c>
      <c r="K18" s="18"/>
      <c r="L18" s="18" t="str">
        <f>IFERROR(__xludf.DUMMYFUNCTION("""COMPUTED_VALUE"""),"Level 4- Heavy sexual content, mature audiences only")</f>
        <v>Level 4- Heavy sexual content, mature audiences only</v>
      </c>
      <c r="M18" s="18"/>
      <c r="N18" s="18"/>
      <c r="O18" s="18" t="str">
        <f>IFERROR(__xludf.DUMMYFUNCTION("""COMPUTED_VALUE"""),"Sign of Love #1")</f>
        <v>Sign of Love #1</v>
      </c>
      <c r="P18" s="18" t="str">
        <f>IFERROR(__xludf.DUMMYFUNCTION("""COMPUTED_VALUE"""),"Swoon, Tingle, Laugh, Feel feels, Dream")</f>
        <v>Swoon, Tingle, Laugh, Feel feels, Dream</v>
      </c>
      <c r="Q18" s="18"/>
      <c r="R18" s="19" t="str">
        <f>IFERROR(__xludf.DUMMYFUNCTION("""COMPUTED_VALUE"""),"No")</f>
        <v>No</v>
      </c>
      <c r="S18" s="20" t="str">
        <f>IFERROR(__xludf.DUMMYFUNCTION("""COMPUTED_VALUE"""),"https://www.goodreads.com/book/show/33267481-leo-loves-aries")</f>
        <v>https://www.goodreads.com/book/show/33267481-leo-loves-aries</v>
      </c>
    </row>
    <row r="19">
      <c r="A19" s="16">
        <f>IFERROR(__xludf.DUMMYFUNCTION("""COMPUTED_VALUE"""),44780.601074224534)</f>
        <v>44780.60107</v>
      </c>
      <c r="B19" s="13" t="str">
        <f>IFERROR(__xludf.DUMMYFUNCTION("""COMPUTED_VALUE"""),"Add new entry")</f>
        <v>Add new entry</v>
      </c>
      <c r="C19" s="17" t="str">
        <f>IFERROR(__xludf.DUMMYFUNCTION("""COMPUTED_VALUE"""),"Faking Under the Mistletoe")</f>
        <v>Faking Under the Mistletoe</v>
      </c>
      <c r="D19" s="18" t="str">
        <f>IFERROR(__xludf.DUMMYFUNCTION("""COMPUTED_VALUE"""),"Ashley Shepherd")</f>
        <v>Ashley Shepherd</v>
      </c>
      <c r="E19" s="18" t="str">
        <f>IFERROR(__xludf.DUMMYFUNCTION("""COMPUTED_VALUE"""),"M/F")</f>
        <v>M/F</v>
      </c>
      <c r="F19" s="18"/>
      <c r="G19" s="18"/>
      <c r="H19" s="18"/>
      <c r="I19" s="18" t="str">
        <f>IFERROR(__xludf.DUMMYFUNCTION("""COMPUTED_VALUE"""),"Contemporary")</f>
        <v>Contemporary</v>
      </c>
      <c r="J19" s="18" t="str">
        <f>IFERROR(__xludf.DUMMYFUNCTION("""COMPUTED_VALUE"""),"Billionaires/Millionaires/Gazillionaires etc, Class Differences, Coworkers or Colleagues, Fake Relationship")</f>
        <v>Billionaires/Millionaires/Gazillionaires etc, Class Differences, Coworkers or Colleagues, Fake Relationship</v>
      </c>
      <c r="K19" s="18"/>
      <c r="L19" s="18" t="str">
        <f>IFERROR(__xludf.DUMMYFUNCTION("""COMPUTED_VALUE"""),"Level 2- Kisses and foreplay, everything else closed door")</f>
        <v>Level 2- Kisses and foreplay, everything else closed door</v>
      </c>
      <c r="M19" s="18"/>
      <c r="N19" s="18" t="str">
        <f>IFERROR(__xludf.DUMMYFUNCTION("""COMPUTED_VALUE"""),"Standalone (not part of a series)")</f>
        <v>Standalone (not part of a series)</v>
      </c>
      <c r="O19" s="18"/>
      <c r="P19" s="18" t="str">
        <f>IFERROR(__xludf.DUMMYFUNCTION("""COMPUTED_VALUE"""),"Swoon, Laugh, Cry, Rage")</f>
        <v>Swoon, Laugh, Cry, Rage</v>
      </c>
      <c r="Q19" s="18" t="str">
        <f>IFERROR(__xludf.DUMMYFUNCTION("""COMPUTED_VALUE"""),"sexual assault, rape")</f>
        <v>sexual assault, rape</v>
      </c>
      <c r="R19" s="19" t="str">
        <f>IFERROR(__xludf.DUMMYFUNCTION("""COMPUTED_VALUE"""),"No")</f>
        <v>No</v>
      </c>
      <c r="S19" s="20" t="str">
        <f>IFERROR(__xludf.DUMMYFUNCTION("""COMPUTED_VALUE"""),"https://www.goodreads.com/book/show/50776910-faking-under-the-mistletoe")</f>
        <v>https://www.goodreads.com/book/show/50776910-faking-under-the-mistletoe</v>
      </c>
    </row>
    <row r="20">
      <c r="A20" s="16">
        <f>IFERROR(__xludf.DUMMYFUNCTION("""COMPUTED_VALUE"""),44780.60639729167)</f>
        <v>44780.6064</v>
      </c>
      <c r="B20" s="13" t="str">
        <f>IFERROR(__xludf.DUMMYFUNCTION("""COMPUTED_VALUE"""),"Add new entry")</f>
        <v>Add new entry</v>
      </c>
      <c r="C20" s="17" t="str">
        <f>IFERROR(__xludf.DUMMYFUNCTION("""COMPUTED_VALUE"""),"Briarley")</f>
        <v>Briarley</v>
      </c>
      <c r="D20" s="18" t="str">
        <f>IFERROR(__xludf.DUMMYFUNCTION("""COMPUTED_VALUE"""),"Aster Glenn Gray")</f>
        <v>Aster Glenn Gray</v>
      </c>
      <c r="E20" s="18" t="str">
        <f>IFERROR(__xludf.DUMMYFUNCTION("""COMPUTED_VALUE"""),"M/M")</f>
        <v>M/M</v>
      </c>
      <c r="F20" s="18" t="str">
        <f>IFERROR(__xludf.DUMMYFUNCTION("""COMPUTED_VALUE"""),"LGBTQIA+ &amp; GSM (Gender and Sexual Minorities), Mental disability or illness")</f>
        <v>LGBTQIA+ &amp; GSM (Gender and Sexual Minorities), Mental disability or illness</v>
      </c>
      <c r="G20" s="18"/>
      <c r="H20" s="18" t="str">
        <f>IFERROR(__xludf.DUMMYFUNCTION("""COMPUTED_VALUE"""),"Single POV, Third person")</f>
        <v>Single POV, Third person</v>
      </c>
      <c r="I20" s="18" t="str">
        <f>IFERROR(__xludf.DUMMYFUNCTION("""COMPUTED_VALUE"""),"Historical Romance, Paranormal")</f>
        <v>Historical Romance, Paranormal</v>
      </c>
      <c r="J20" s="18" t="str">
        <f>IFERROR(__xludf.DUMMYFUNCTION("""COMPUTED_VALUE"""),"Antihero/Villian/Stockholm Syndrome, Creatures or Monsters- Dragon/Orc/Fae/etc, Early 20th Century, Forced Proximity, Loner/Isolated, Retellings- Fairytale/Folklore/Mythology, Sweet MC- beta hero/kindhearted heroine/etc, Wounded Hero/Heroine &amp; War Heroes/"&amp;"Heroines")</f>
        <v>Antihero/Villian/Stockholm Syndrome, Creatures or Monsters- Dragon/Orc/Fae/etc, Early 20th Century, Forced Proximity, Loner/Isolated, Retellings- Fairytale/Folklore/Mythology, Sweet MC- beta hero/kindhearted heroine/etc, Wounded Hero/Heroine &amp; War Heroes/Heroines</v>
      </c>
      <c r="K20" s="18"/>
      <c r="L20" s="18" t="str">
        <f>IFERROR(__xludf.DUMMYFUNCTION("""COMPUTED_VALUE"""),"Level 1- Kisses only, no mention of sex")</f>
        <v>Level 1- Kisses only, no mention of sex</v>
      </c>
      <c r="M20" s="18"/>
      <c r="N20" s="18" t="str">
        <f>IFERROR(__xludf.DUMMYFUNCTION("""COMPUTED_VALUE"""),"Standalone (not part of a series)")</f>
        <v>Standalone (not part of a series)</v>
      </c>
      <c r="O20" s="18"/>
      <c r="P20" s="18" t="str">
        <f>IFERROR(__xludf.DUMMYFUNCTION("""COMPUTED_VALUE"""),"Cry, Feel feels, Smolder, Inspired")</f>
        <v>Cry, Feel feels, Smolder, Inspired</v>
      </c>
      <c r="Q20" s="18" t="str">
        <f>IFERROR(__xludf.DUMMYFUNCTION("""COMPUTED_VALUE"""),"War")</f>
        <v>War</v>
      </c>
      <c r="R20" s="19" t="str">
        <f>IFERROR(__xludf.DUMMYFUNCTION("""COMPUTED_VALUE"""),"No")</f>
        <v>No</v>
      </c>
      <c r="S20" s="20" t="str">
        <f>IFERROR(__xludf.DUMMYFUNCTION("""COMPUTED_VALUE"""),"https://www.goodreads.com/en/book/show/40052412")</f>
        <v>https://www.goodreads.com/en/book/show/40052412</v>
      </c>
    </row>
    <row r="21">
      <c r="A21" s="16">
        <f>IFERROR(__xludf.DUMMYFUNCTION("""COMPUTED_VALUE"""),45274.91663245371)</f>
        <v>45274.91663</v>
      </c>
      <c r="B21" s="13" t="str">
        <f>IFERROR(__xludf.DUMMYFUNCTION("""COMPUTED_VALUE"""),"Add new entry")</f>
        <v>Add new entry</v>
      </c>
      <c r="C21" s="17" t="str">
        <f>IFERROR(__xludf.DUMMYFUNCTION("""COMPUTED_VALUE"""),"The Marriage Auction")</f>
        <v>The Marriage Auction</v>
      </c>
      <c r="D21" s="18" t="str">
        <f>IFERROR(__xludf.DUMMYFUNCTION("""COMPUTED_VALUE"""),"Audrey Carlan")</f>
        <v>Audrey Carlan</v>
      </c>
      <c r="E21" s="18" t="str">
        <f>IFERROR(__xludf.DUMMYFUNCTION("""COMPUTED_VALUE"""),"M/F")</f>
        <v>M/F</v>
      </c>
      <c r="F21" s="18" t="str">
        <f>IFERROR(__xludf.DUMMYFUNCTION("""COMPUTED_VALUE"""),"Various characters variety of themes ")</f>
        <v>Various characters variety of themes </v>
      </c>
      <c r="G21" s="18"/>
      <c r="H21" s="18" t="str">
        <f>IFERROR(__xludf.DUMMYFUNCTION("""COMPUTED_VALUE"""),"Dual POV")</f>
        <v>Dual POV</v>
      </c>
      <c r="I21" s="18" t="str">
        <f>IFERROR(__xludf.DUMMYFUNCTION("""COMPUTED_VALUE"""),"Erotic Romance, Romantic Suspense")</f>
        <v>Erotic Romance, Romantic Suspense</v>
      </c>
      <c r="J21" s="18" t="str">
        <f>IFERROR(__xludf.DUMMYFUNCTION("""COMPUTED_VALUE"""),"A/B/O (alpha/beta/omega), Billionaires/Millionaires/Gazillionaires etc, Marriage of Convenience (or arranged marriage)")</f>
        <v>A/B/O (alpha/beta/omega), Billionaires/Millionaires/Gazillionaires etc, Marriage of Convenience (or arranged marriage)</v>
      </c>
      <c r="K21" s="18" t="str">
        <f>IFERROR(__xludf.DUMMYFUNCTION("""COMPUTED_VALUE"""),"Europe")</f>
        <v>Europe</v>
      </c>
      <c r="L21" s="18" t="str">
        <f>IFERROR(__xludf.DUMMYFUNCTION("""COMPUTED_VALUE"""),"Level 4- Heavy sexual content, mature audiences only")</f>
        <v>Level 4- Heavy sexual content, mature audiences only</v>
      </c>
      <c r="M21" s="18" t="str">
        <f>IFERROR(__xludf.DUMMYFUNCTION("""COMPUTED_VALUE"""),"Anal sex")</f>
        <v>Anal sex</v>
      </c>
      <c r="N21" s="18" t="str">
        <f>IFERROR(__xludf.DUMMYFUNCTION("""COMPUTED_VALUE"""),"Series- must be read in order")</f>
        <v>Series- must be read in order</v>
      </c>
      <c r="O21" s="18" t="str">
        <f>IFERROR(__xludf.DUMMYFUNCTION("""COMPUTED_VALUE"""),"Volume one ")</f>
        <v>Volume one </v>
      </c>
      <c r="P21" s="18" t="str">
        <f>IFERROR(__xludf.DUMMYFUNCTION("""COMPUTED_VALUE"""),"Swoon, Feel feels")</f>
        <v>Swoon, Feel feels</v>
      </c>
      <c r="Q21" s="18"/>
      <c r="R21" s="19" t="str">
        <f>IFERROR(__xludf.DUMMYFUNCTION("""COMPUTED_VALUE"""),"Yes")</f>
        <v>Yes</v>
      </c>
      <c r="S21" s="20" t="str">
        <f>IFERROR(__xludf.DUMMYFUNCTION("""COMPUTED_VALUE"""),"https://www.goodreads.com/book/show/63112074-the-marriage-auction")</f>
        <v>https://www.goodreads.com/book/show/63112074-the-marriage-auction</v>
      </c>
    </row>
    <row r="22">
      <c r="A22" s="16">
        <f>IFERROR(__xludf.DUMMYFUNCTION("""COMPUTED_VALUE"""),44780.608520775466)</f>
        <v>44780.60852</v>
      </c>
      <c r="B22" s="13" t="str">
        <f>IFERROR(__xludf.DUMMYFUNCTION("""COMPUTED_VALUE"""),"Add new entry")</f>
        <v>Add new entry</v>
      </c>
      <c r="C22" s="17" t="str">
        <f>IFERROR(__xludf.DUMMYFUNCTION("""COMPUTED_VALUE"""),"Lady Edith's Lonely Heart")</f>
        <v>Lady Edith's Lonely Heart</v>
      </c>
      <c r="D22" s="18" t="str">
        <f>IFERROR(__xludf.DUMMYFUNCTION("""COMPUTED_VALUE"""),"Audrey Harrison")</f>
        <v>Audrey Harrison</v>
      </c>
      <c r="E22" s="18" t="str">
        <f>IFERROR(__xludf.DUMMYFUNCTION("""COMPUTED_VALUE"""),"M/F")</f>
        <v>M/F</v>
      </c>
      <c r="F22" s="18"/>
      <c r="G22" s="18"/>
      <c r="H22" s="18" t="str">
        <f>IFERROR(__xludf.DUMMYFUNCTION("""COMPUTED_VALUE"""),"Dual POV")</f>
        <v>Dual POV</v>
      </c>
      <c r="I22" s="18" t="str">
        <f>IFERROR(__xludf.DUMMYFUNCTION("""COMPUTED_VALUE"""),"Historical Romance")</f>
        <v>Historical Romance</v>
      </c>
      <c r="J22" s="18" t="str">
        <f>IFERROR(__xludf.DUMMYFUNCTION("""COMPUTED_VALUE"""),"Epistolary, Off Limits (ie; Brother's Best Friend), Regency, Slow Burn")</f>
        <v>Epistolary, Off Limits (ie; Brother's Best Friend), Regency, Slow Burn</v>
      </c>
      <c r="K22" s="18"/>
      <c r="L22" s="18" t="str">
        <f>IFERROR(__xludf.DUMMYFUNCTION("""COMPUTED_VALUE"""),"Level 1- Kisses only, no mention of sex")</f>
        <v>Level 1- Kisses only, no mention of sex</v>
      </c>
      <c r="M22" s="18"/>
      <c r="N22" s="18"/>
      <c r="O22" s="18" t="str">
        <f>IFERROR(__xludf.DUMMYFUNCTION("""COMPUTED_VALUE"""),"Lonely Heart #1")</f>
        <v>Lonely Heart #1</v>
      </c>
      <c r="P22" s="18" t="str">
        <f>IFERROR(__xludf.DUMMYFUNCTION("""COMPUTED_VALUE"""),"Feel feels")</f>
        <v>Feel feels</v>
      </c>
      <c r="Q22" s="18"/>
      <c r="R22" s="19" t="str">
        <f>IFERROR(__xludf.DUMMYFUNCTION("""COMPUTED_VALUE"""),"No")</f>
        <v>No</v>
      </c>
      <c r="S22" s="20" t="str">
        <f>IFERROR(__xludf.DUMMYFUNCTION("""COMPUTED_VALUE"""),"https://www.goodreads.com/book/show/51616063-lady-edith-s-lonely-heart")</f>
        <v>https://www.goodreads.com/book/show/51616063-lady-edith-s-lonely-heart</v>
      </c>
    </row>
    <row r="23">
      <c r="A23" s="16">
        <f>IFERROR(__xludf.DUMMYFUNCTION("""COMPUTED_VALUE"""),44780.61074497685)</f>
        <v>44780.61074</v>
      </c>
      <c r="B23" s="13" t="str">
        <f>IFERROR(__xludf.DUMMYFUNCTION("""COMPUTED_VALUE"""),"Add new entry")</f>
        <v>Add new entry</v>
      </c>
      <c r="C23" s="17" t="str">
        <f>IFERROR(__xludf.DUMMYFUNCTION("""COMPUTED_VALUE"""),"The Captain's Wallflower")</f>
        <v>The Captain's Wallflower</v>
      </c>
      <c r="D23" s="18" t="str">
        <f>IFERROR(__xludf.DUMMYFUNCTION("""COMPUTED_VALUE"""),"Audrey Harrison")</f>
        <v>Audrey Harrison</v>
      </c>
      <c r="E23" s="18" t="str">
        <f>IFERROR(__xludf.DUMMYFUNCTION("""COMPUTED_VALUE"""),"M/F")</f>
        <v>M/F</v>
      </c>
      <c r="F23" s="18" t="str">
        <f>IFERROR(__xludf.DUMMYFUNCTION("""COMPUTED_VALUE"""),"Physical disability or illness")</f>
        <v>Physical disability or illness</v>
      </c>
      <c r="G23" s="18"/>
      <c r="H23" s="18" t="str">
        <f>IFERROR(__xludf.DUMMYFUNCTION("""COMPUTED_VALUE"""),"Third person")</f>
        <v>Third person</v>
      </c>
      <c r="I23" s="18" t="str">
        <f>IFERROR(__xludf.DUMMYFUNCTION("""COMPUTED_VALUE"""),"Historical Romance")</f>
        <v>Historical Romance</v>
      </c>
      <c r="J23" s="18" t="str">
        <f>IFERROR(__xludf.DUMMYFUNCTION("""COMPUTED_VALUE"""),"Friends-to-lovers")</f>
        <v>Friends-to-lovers</v>
      </c>
      <c r="K23" s="18"/>
      <c r="L23" s="18" t="str">
        <f>IFERROR(__xludf.DUMMYFUNCTION("""COMPUTED_VALUE"""),"Level 1- Kisses only, no mention of sex")</f>
        <v>Level 1- Kisses only, no mention of sex</v>
      </c>
      <c r="M23" s="18"/>
      <c r="N23" s="18" t="str">
        <f>IFERROR(__xludf.DUMMYFUNCTION("""COMPUTED_VALUE"""),"Standalone (not part of a series)")</f>
        <v>Standalone (not part of a series)</v>
      </c>
      <c r="O23" s="18"/>
      <c r="P23" s="18" t="str">
        <f>IFERROR(__xludf.DUMMYFUNCTION("""COMPUTED_VALUE"""),"Feel feels, Transported")</f>
        <v>Feel feels, Transported</v>
      </c>
      <c r="Q23" s="18"/>
      <c r="R23" s="19" t="str">
        <f>IFERROR(__xludf.DUMMYFUNCTION("""COMPUTED_VALUE"""),"No")</f>
        <v>No</v>
      </c>
      <c r="S23" s="20" t="str">
        <f>IFERROR(__xludf.DUMMYFUNCTION("""COMPUTED_VALUE"""),"https://www.goodreads.com/book/show/28008070-the-captain-s-wallflower")</f>
        <v>https://www.goodreads.com/book/show/28008070-the-captain-s-wallflower</v>
      </c>
    </row>
    <row r="24">
      <c r="A24" s="16">
        <f>IFERROR(__xludf.DUMMYFUNCTION("""COMPUTED_VALUE"""),45425.39728660879)</f>
        <v>45425.39729</v>
      </c>
      <c r="B24" s="13" t="str">
        <f>IFERROR(__xludf.DUMMYFUNCTION("""COMPUTED_VALUE"""),"Add new entry")</f>
        <v>Add new entry</v>
      </c>
      <c r="C24" s="17" t="str">
        <f>IFERROR(__xludf.DUMMYFUNCTION("""COMPUTED_VALUE"""),"Spearcrest Devil ")</f>
        <v>Spearcrest Devil </v>
      </c>
      <c r="D24" s="18" t="str">
        <f>IFERROR(__xludf.DUMMYFUNCTION("""COMPUTED_VALUE"""),"Aurora Reed")</f>
        <v>Aurora Reed</v>
      </c>
      <c r="E24" s="18" t="str">
        <f>IFERROR(__xludf.DUMMYFUNCTION("""COMPUTED_VALUE"""),"M/F")</f>
        <v>M/F</v>
      </c>
      <c r="F24" s="18"/>
      <c r="G24" s="18"/>
      <c r="H24" s="18" t="str">
        <f>IFERROR(__xludf.DUMMYFUNCTION("""COMPUTED_VALUE"""),"Dual POV, First person")</f>
        <v>Dual POV, First person</v>
      </c>
      <c r="I24" s="18" t="str">
        <f>IFERROR(__xludf.DUMMYFUNCTION("""COMPUTED_VALUE"""),"Dark, Erotic Romance")</f>
        <v>Dark, Erotic Romance</v>
      </c>
      <c r="J24" s="18" t="str">
        <f>IFERROR(__xludf.DUMMYFUNCTION("""COMPUTED_VALUE"""),"Billionaires/Millionaires/Gazillionaires etc, Enemies-to-lovers (or dislike-to-love), Fake Relationship, Mistaken or False Identity")</f>
        <v>Billionaires/Millionaires/Gazillionaires etc, Enemies-to-lovers (or dislike-to-love), Fake Relationship, Mistaken or False Identity</v>
      </c>
      <c r="K24" s="18" t="str">
        <f>IFERROR(__xludf.DUMMYFUNCTION("""COMPUTED_VALUE"""),"Europe, North America")</f>
        <v>Europe, North America</v>
      </c>
      <c r="L24" s="18" t="str">
        <f>IFERROR(__xludf.DUMMYFUNCTION("""COMPUTED_VALUE"""),"Level 3- Sexual content in a few chapters")</f>
        <v>Level 3- Sexual content in a few chapters</v>
      </c>
      <c r="M24" s="18" t="str">
        <f>IFERROR(__xludf.DUMMYFUNCTION("""COMPUTED_VALUE"""),"Dirty Talk, Knife Play, Oral sex - cunnilingus, PIV sex (penis in vagina)")</f>
        <v>Dirty Talk, Knife Play, Oral sex - cunnilingus, PIV sex (penis in vagina)</v>
      </c>
      <c r="N24" s="18" t="str">
        <f>IFERROR(__xludf.DUMMYFUNCTION("""COMPUTED_VALUE"""),"Series- can be read as standalones")</f>
        <v>Series- can be read as standalones</v>
      </c>
      <c r="O24" s="18" t="str">
        <f>IFERROR(__xludf.DUMMYFUNCTION("""COMPUTED_VALUE"""),"Spearcrest Kings")</f>
        <v>Spearcrest Kings</v>
      </c>
      <c r="P24" s="18" t="str">
        <f>IFERROR(__xludf.DUMMYFUNCTION("""COMPUTED_VALUE"""),"Tingle")</f>
        <v>Tingle</v>
      </c>
      <c r="Q24" s="18" t="str">
        <f>IFERROR(__xludf.DUMMYFUNCTION("""COMPUTED_VALUE"""),"Assault(past)")</f>
        <v>Assault(past)</v>
      </c>
      <c r="R24" s="19" t="str">
        <f>IFERROR(__xludf.DUMMYFUNCTION("""COMPUTED_VALUE"""),"No")</f>
        <v>No</v>
      </c>
      <c r="S24" s="20" t="str">
        <f>IFERROR(__xludf.DUMMYFUNCTION("""COMPUTED_VALUE"""),"https://www.goodreads.com/book/show/203042941-spearcrest-devil")</f>
        <v>https://www.goodreads.com/book/show/203042941-spearcrest-devil</v>
      </c>
    </row>
    <row r="25">
      <c r="A25" s="16">
        <f>IFERROR(__xludf.DUMMYFUNCTION("""COMPUTED_VALUE"""),45399.105597766196)</f>
        <v>45399.1056</v>
      </c>
      <c r="B25" s="13" t="str">
        <f>IFERROR(__xludf.DUMMYFUNCTION("""COMPUTED_VALUE"""),"Add new entry")</f>
        <v>Add new entry</v>
      </c>
      <c r="C25" s="17" t="str">
        <f>IFERROR(__xludf.DUMMYFUNCTION("""COMPUTED_VALUE"""),"Exit, Pursued by a Baron")</f>
        <v>Exit, Pursued by a Baron</v>
      </c>
      <c r="D25" s="18" t="str">
        <f>IFERROR(__xludf.DUMMYFUNCTION("""COMPUTED_VALUE"""),"Aydra Richards")</f>
        <v>Aydra Richards</v>
      </c>
      <c r="E25" s="18" t="str">
        <f>IFERROR(__xludf.DUMMYFUNCTION("""COMPUTED_VALUE"""),"M/F")</f>
        <v>M/F</v>
      </c>
      <c r="F25" s="18"/>
      <c r="G25" s="18"/>
      <c r="H25" s="18" t="str">
        <f>IFERROR(__xludf.DUMMYFUNCTION("""COMPUTED_VALUE"""),"Dual POV")</f>
        <v>Dual POV</v>
      </c>
      <c r="I25" s="18" t="str">
        <f>IFERROR(__xludf.DUMMYFUNCTION("""COMPUTED_VALUE"""),"Historical Romance")</f>
        <v>Historical Romance</v>
      </c>
      <c r="J25" s="18" t="str">
        <f>IFERROR(__xludf.DUMMYFUNCTION("""COMPUTED_VALUE"""),"Class Differences, Pining/Yearning, Regency, Second Chance")</f>
        <v>Class Differences, Pining/Yearning, Regency, Second Chance</v>
      </c>
      <c r="K25" s="18" t="str">
        <f>IFERROR(__xludf.DUMMYFUNCTION("""COMPUTED_VALUE"""),"Europe")</f>
        <v>Europe</v>
      </c>
      <c r="L25" s="18" t="str">
        <f>IFERROR(__xludf.DUMMYFUNCTION("""COMPUTED_VALUE"""),"Level 4- Heavy sexual content, mature audiences only")</f>
        <v>Level 4- Heavy sexual content, mature audiences only</v>
      </c>
      <c r="M25" s="18"/>
      <c r="N25" s="18" t="str">
        <f>IFERROR(__xludf.DUMMYFUNCTION("""COMPUTED_VALUE"""),"Standalone (not part of a series)")</f>
        <v>Standalone (not part of a series)</v>
      </c>
      <c r="O25" s="18"/>
      <c r="P25" s="18" t="str">
        <f>IFERROR(__xludf.DUMMYFUNCTION("""COMPUTED_VALUE"""),"Swoon, Feel feels")</f>
        <v>Swoon, Feel feels</v>
      </c>
      <c r="Q25" s="18"/>
      <c r="R25" s="19" t="str">
        <f>IFERROR(__xludf.DUMMYFUNCTION("""COMPUTED_VALUE"""),"No")</f>
        <v>No</v>
      </c>
      <c r="S25" s="20" t="str">
        <f>IFERROR(__xludf.DUMMYFUNCTION("""COMPUTED_VALUE"""),"https://www.goodreads.com/en/book/show/199345368")</f>
        <v>https://www.goodreads.com/en/book/show/199345368</v>
      </c>
    </row>
    <row r="26">
      <c r="A26" s="16">
        <f>IFERROR(__xludf.DUMMYFUNCTION("""COMPUTED_VALUE"""),44780.615963553246)</f>
        <v>44780.61596</v>
      </c>
      <c r="B26" s="13" t="str">
        <f>IFERROR(__xludf.DUMMYFUNCTION("""COMPUTED_VALUE"""),"Add new entry")</f>
        <v>Add new entry</v>
      </c>
      <c r="C26" s="17" t="str">
        <f>IFERROR(__xludf.DUMMYFUNCTION("""COMPUTED_VALUE"""),"When Darkness Comes")</f>
        <v>When Darkness Comes</v>
      </c>
      <c r="D26" s="18" t="str">
        <f>IFERROR(__xludf.DUMMYFUNCTION("""COMPUTED_VALUE"""),"Beck Cummings")</f>
        <v>Beck Cummings</v>
      </c>
      <c r="E26" s="18" t="str">
        <f>IFERROR(__xludf.DUMMYFUNCTION("""COMPUTED_VALUE"""),"M/F")</f>
        <v>M/F</v>
      </c>
      <c r="F26" s="18"/>
      <c r="G26" s="18"/>
      <c r="H26" s="18" t="str">
        <f>IFERROR(__xludf.DUMMYFUNCTION("""COMPUTED_VALUE"""),"Single POV")</f>
        <v>Single POV</v>
      </c>
      <c r="I26" s="18" t="str">
        <f>IFERROR(__xludf.DUMMYFUNCTION("""COMPUTED_VALUE"""),"Contemporary, Romantic Suspense")</f>
        <v>Contemporary, Romantic Suspense</v>
      </c>
      <c r="J26" s="18" t="str">
        <f>IFERROR(__xludf.DUMMYFUNCTION("""COMPUTED_VALUE"""),"Opposites Attract, Spy/Intrigue/Mystery, Tattoos &amp; Piercings, Ghost Hunting")</f>
        <v>Opposites Attract, Spy/Intrigue/Mystery, Tattoos &amp; Piercings, Ghost Hunting</v>
      </c>
      <c r="K26" s="18"/>
      <c r="L26" s="18" t="str">
        <f>IFERROR(__xludf.DUMMYFUNCTION("""COMPUTED_VALUE"""),"Level 2- Kisses and foreplay, everything else closed door")</f>
        <v>Level 2- Kisses and foreplay, everything else closed door</v>
      </c>
      <c r="M26" s="18"/>
      <c r="N26" s="18"/>
      <c r="O26" s="18" t="str">
        <f>IFERROR(__xludf.DUMMYFUNCTION("""COMPUTED_VALUE"""),"From Darkness to Dawn #1")</f>
        <v>From Darkness to Dawn #1</v>
      </c>
      <c r="P26" s="18" t="str">
        <f>IFERROR(__xludf.DUMMYFUNCTION("""COMPUTED_VALUE"""),"Swoon, Transported")</f>
        <v>Swoon, Transported</v>
      </c>
      <c r="Q26" s="18"/>
      <c r="R26" s="19" t="str">
        <f>IFERROR(__xludf.DUMMYFUNCTION("""COMPUTED_VALUE"""),"No")</f>
        <v>No</v>
      </c>
      <c r="S26" s="20" t="str">
        <f>IFERROR(__xludf.DUMMYFUNCTION("""COMPUTED_VALUE"""),"https://www.goodreads.com/book/show/52614279-when-darkness-comes")</f>
        <v>https://www.goodreads.com/book/show/52614279-when-darkness-comes</v>
      </c>
    </row>
    <row r="27">
      <c r="A27" s="16">
        <f>IFERROR(__xludf.DUMMYFUNCTION("""COMPUTED_VALUE"""),45515.756714456016)</f>
        <v>45515.75671</v>
      </c>
      <c r="B27" s="13" t="str">
        <f>IFERROR(__xludf.DUMMYFUNCTION("""COMPUTED_VALUE"""),"Add new entry")</f>
        <v>Add new entry</v>
      </c>
      <c r="C27" s="17" t="str">
        <f>IFERROR(__xludf.DUMMYFUNCTION("""COMPUTED_VALUE"""),"Fall With Me")</f>
        <v>Fall With Me</v>
      </c>
      <c r="D27" s="18" t="str">
        <f>IFERROR(__xludf.DUMMYFUNCTION("""COMPUTED_VALUE"""),"Becka Mack")</f>
        <v>Becka Mack</v>
      </c>
      <c r="E27" s="18" t="str">
        <f>IFERROR(__xludf.DUMMYFUNCTION("""COMPUTED_VALUE"""),"M/F")</f>
        <v>M/F</v>
      </c>
      <c r="F27" s="18" t="str">
        <f>IFERROR(__xludf.DUMMYFUNCTION("""COMPUTED_VALUE"""),"BIPoC (Black, Indigenous, People of Colour)")</f>
        <v>BIPoC (Black, Indigenous, People of Colour)</v>
      </c>
      <c r="G27" s="18" t="str">
        <f>IFERROR(__xludf.DUMMYFUNCTION("""COMPUTED_VALUE"""),"Heroine is biracial (Black/White) and bisexual")</f>
        <v>Heroine is biracial (Black/White) and bisexual</v>
      </c>
      <c r="H27" s="18" t="str">
        <f>IFERROR(__xludf.DUMMYFUNCTION("""COMPUTED_VALUE"""),"Dual POV")</f>
        <v>Dual POV</v>
      </c>
      <c r="I27" s="18" t="str">
        <f>IFERROR(__xludf.DUMMYFUNCTION("""COMPUTED_VALUE"""),"Contemporary")</f>
        <v>Contemporary</v>
      </c>
      <c r="J27" s="18" t="str">
        <f>IFERROR(__xludf.DUMMYFUNCTION("""COMPUTED_VALUE"""),"Athlete, BDSM or Kink, Coworkers or Colleagues, Forced Proximity, Hurt/Comfort, One Night Stand, Rake/Player")</f>
        <v>Athlete, BDSM or Kink, Coworkers or Colleagues, Forced Proximity, Hurt/Comfort, One Night Stand, Rake/Player</v>
      </c>
      <c r="K27" s="18" t="str">
        <f>IFERROR(__xludf.DUMMYFUNCTION("""COMPUTED_VALUE"""),"North America")</f>
        <v>North America</v>
      </c>
      <c r="L27" s="18" t="str">
        <f>IFERROR(__xludf.DUMMYFUNCTION("""COMPUTED_VALUE"""),"Level 4- Heavy sexual content, mature audiences only")</f>
        <v>Level 4- Heavy sexual content, mature audiences only</v>
      </c>
      <c r="M27" s="18" t="str">
        <f>IFERROR(__xludf.DUMMYFUNCTION("""COMPUTED_VALUE"""),"Blood Play, Breath Play (eg.choking), Dirty Talk, Double Penetration, Impact play (spanking etc), Oral sex - cunnilingus, Oral sex - fellatio, PIV sex (penis in vagina), Praise Kink, Sex Toy Play")</f>
        <v>Blood Play, Breath Play (eg.choking), Dirty Talk, Double Penetration, Impact play (spanking etc), Oral sex - cunnilingus, Oral sex - fellatio, PIV sex (penis in vagina), Praise Kink, Sex Toy Play</v>
      </c>
      <c r="N27" s="18" t="str">
        <f>IFERROR(__xludf.DUMMYFUNCTION("""COMPUTED_VALUE"""),"Series- can be read as standalones")</f>
        <v>Series- can be read as standalones</v>
      </c>
      <c r="O27" s="18" t="str">
        <f>IFERROR(__xludf.DUMMYFUNCTION("""COMPUTED_VALUE"""),"Playing For Keeps #4")</f>
        <v>Playing For Keeps #4</v>
      </c>
      <c r="P27" s="18" t="str">
        <f>IFERROR(__xludf.DUMMYFUNCTION("""COMPUTED_VALUE"""),"Swoon, Tingle, Laugh, Cry, Feel feels")</f>
        <v>Swoon, Tingle, Laugh, Cry, Feel feels</v>
      </c>
      <c r="Q27" s="18"/>
      <c r="R27" s="19" t="str">
        <f>IFERROR(__xludf.DUMMYFUNCTION("""COMPUTED_VALUE"""),"No")</f>
        <v>No</v>
      </c>
      <c r="S27" s="20" t="str">
        <f>IFERROR(__xludf.DUMMYFUNCTION("""COMPUTED_VALUE"""),"https://www.goodreads.com/book/show/208457093-fall-with-me")</f>
        <v>https://www.goodreads.com/book/show/208457093-fall-with-me</v>
      </c>
    </row>
    <row r="28">
      <c r="A28" s="16">
        <f>IFERROR(__xludf.DUMMYFUNCTION("""COMPUTED_VALUE"""),45001.13391859954)</f>
        <v>45001.13392</v>
      </c>
      <c r="B28" s="13" t="str">
        <f>IFERROR(__xludf.DUMMYFUNCTION("""COMPUTED_VALUE"""),"Add new entry")</f>
        <v>Add new entry</v>
      </c>
      <c r="C28" s="17" t="str">
        <f>IFERROR(__xludf.DUMMYFUNCTION("""COMPUTED_VALUE"""),"Where Did It Go Right?")</f>
        <v>Where Did It Go Right?</v>
      </c>
      <c r="D28" s="18" t="str">
        <f>IFERROR(__xludf.DUMMYFUNCTION("""COMPUTED_VALUE"""),"Bella Perry")</f>
        <v>Bella Perry</v>
      </c>
      <c r="E28" s="18" t="str">
        <f>IFERROR(__xludf.DUMMYFUNCTION("""COMPUTED_VALUE"""),"M/F")</f>
        <v>M/F</v>
      </c>
      <c r="F28" s="18"/>
      <c r="G28" s="18"/>
      <c r="H28" s="18" t="str">
        <f>IFERROR(__xludf.DUMMYFUNCTION("""COMPUTED_VALUE"""),"Dual POV")</f>
        <v>Dual POV</v>
      </c>
      <c r="I28" s="18" t="str">
        <f>IFERROR(__xludf.DUMMYFUNCTION("""COMPUTED_VALUE"""),"Contemporary, Romantic Comedy")</f>
        <v>Contemporary, Romantic Comedy</v>
      </c>
      <c r="J28" s="18" t="str">
        <f>IFERROR(__xludf.DUMMYFUNCTION("""COMPUTED_VALUE"""),"Celebrities- Rock star/Actor/Model, Forced Proximity, Love Triangle, One Night Stand, Road Trip/Travel, Slow Burn, Sweet MC- beta hero/kindhearted heroine/etc")</f>
        <v>Celebrities- Rock star/Actor/Model, Forced Proximity, Love Triangle, One Night Stand, Road Trip/Travel, Slow Burn, Sweet MC- beta hero/kindhearted heroine/etc</v>
      </c>
      <c r="K28" s="18" t="str">
        <f>IFERROR(__xludf.DUMMYFUNCTION("""COMPUTED_VALUE"""),"North America")</f>
        <v>North America</v>
      </c>
      <c r="L28" s="18" t="str">
        <f>IFERROR(__xludf.DUMMYFUNCTION("""COMPUTED_VALUE"""),"Level 4- Heavy sexual content, mature audiences only")</f>
        <v>Level 4- Heavy sexual content, mature audiences only</v>
      </c>
      <c r="M28" s="18" t="str">
        <f>IFERROR(__xludf.DUMMYFUNCTION("""COMPUTED_VALUE"""),"Oral sex - cunnilingus, Oral sex - fellatio")</f>
        <v>Oral sex - cunnilingus, Oral sex - fellatio</v>
      </c>
      <c r="N28" s="18"/>
      <c r="O28" s="18"/>
      <c r="P28" s="18" t="str">
        <f>IFERROR(__xludf.DUMMYFUNCTION("""COMPUTED_VALUE"""),"Swoon, Tingle, Laugh, Rage, Feel feels")</f>
        <v>Swoon, Tingle, Laugh, Rage, Feel feels</v>
      </c>
      <c r="Q28" s="18"/>
      <c r="R28" s="19" t="str">
        <f>IFERROR(__xludf.DUMMYFUNCTION("""COMPUTED_VALUE"""),"No")</f>
        <v>No</v>
      </c>
      <c r="S28" s="20" t="str">
        <f>IFERROR(__xludf.DUMMYFUNCTION("""COMPUTED_VALUE"""),"https://www.goodreads.com/book/show/84262813")</f>
        <v>https://www.goodreads.com/book/show/84262813</v>
      </c>
    </row>
    <row r="29">
      <c r="A29" s="16">
        <f>IFERROR(__xludf.DUMMYFUNCTION("""COMPUTED_VALUE"""),44780.61896363426)</f>
        <v>44780.61896</v>
      </c>
      <c r="B29" s="13" t="str">
        <f>IFERROR(__xludf.DUMMYFUNCTION("""COMPUTED_VALUE"""),"Add new entry")</f>
        <v>Add new entry</v>
      </c>
      <c r="C29" s="17" t="str">
        <f>IFERROR(__xludf.DUMMYFUNCTION("""COMPUTED_VALUE"""),"Lev")</f>
        <v>Lev</v>
      </c>
      <c r="D29" s="18" t="str">
        <f>IFERROR(__xludf.DUMMYFUNCTION("""COMPUTED_VALUE"""),"Belle Aurora")</f>
        <v>Belle Aurora</v>
      </c>
      <c r="E29" s="18" t="str">
        <f>IFERROR(__xludf.DUMMYFUNCTION("""COMPUTED_VALUE"""),"M/F")</f>
        <v>M/F</v>
      </c>
      <c r="F29" s="18" t="str">
        <f>IFERROR(__xludf.DUMMYFUNCTION("""COMPUTED_VALUE"""),"Neurodivergent (Autism, ADHD, dyspraxia, dyslexia, etc)")</f>
        <v>Neurodivergent (Autism, ADHD, dyspraxia, dyslexia, etc)</v>
      </c>
      <c r="G29" s="18"/>
      <c r="H29" s="18" t="str">
        <f>IFERROR(__xludf.DUMMYFUNCTION("""COMPUTED_VALUE"""),"Dual POV")</f>
        <v>Dual POV</v>
      </c>
      <c r="I29" s="18" t="str">
        <f>IFERROR(__xludf.DUMMYFUNCTION("""COMPUTED_VALUE"""),"Contemporary")</f>
        <v>Contemporary</v>
      </c>
      <c r="J29" s="18" t="str">
        <f>IFERROR(__xludf.DUMMYFUNCTION("""COMPUTED_VALUE"""),"Coworkers or Colleagues, Hurt/Comfort, Mafia/Gang/Criminal")</f>
        <v>Coworkers or Colleagues, Hurt/Comfort, Mafia/Gang/Criminal</v>
      </c>
      <c r="K29" s="18"/>
      <c r="L29" s="18" t="str">
        <f>IFERROR(__xludf.DUMMYFUNCTION("""COMPUTED_VALUE"""),"Level 3- Sexual content in a few chapters")</f>
        <v>Level 3- Sexual content in a few chapters</v>
      </c>
      <c r="M29" s="18"/>
      <c r="N29" s="18"/>
      <c r="O29" s="18" t="str">
        <f>IFERROR(__xludf.DUMMYFUNCTION("""COMPUTED_VALUE"""),"Shot Callers #1")</f>
        <v>Shot Callers #1</v>
      </c>
      <c r="P29" s="18"/>
      <c r="Q29" s="18" t="str">
        <f>IFERROR(__xludf.DUMMYFUNCTION("""COMPUTED_VALUE"""),"Past physical abuse of minor, past sexual abuse")</f>
        <v>Past physical abuse of minor, past sexual abuse</v>
      </c>
      <c r="R29" s="19" t="str">
        <f>IFERROR(__xludf.DUMMYFUNCTION("""COMPUTED_VALUE"""),"No")</f>
        <v>No</v>
      </c>
      <c r="S29" s="20" t="str">
        <f>IFERROR(__xludf.DUMMYFUNCTION("""COMPUTED_VALUE"""),"https://www.goodreads.com/book/show/27131389-lev")</f>
        <v>https://www.goodreads.com/book/show/27131389-lev</v>
      </c>
    </row>
    <row r="30">
      <c r="A30" s="16">
        <f>IFERROR(__xludf.DUMMYFUNCTION("""COMPUTED_VALUE"""),45698.98315846065)</f>
        <v>45698.98316</v>
      </c>
      <c r="B30" s="13" t="str">
        <f>IFERROR(__xludf.DUMMYFUNCTION("""COMPUTED_VALUE"""),"Add new entry")</f>
        <v>Add new entry</v>
      </c>
      <c r="C30" s="17" t="str">
        <f>IFERROR(__xludf.DUMMYFUNCTION("""COMPUTED_VALUE"""),"Crash: a los diablos syndicate novella")</f>
        <v>Crash: a los diablos syndicate novella</v>
      </c>
      <c r="D30" s="18" t="str">
        <f>IFERROR(__xludf.DUMMYFUNCTION("""COMPUTED_VALUE"""),"Bex Dawn")</f>
        <v>Bex Dawn</v>
      </c>
      <c r="E30" s="18" t="str">
        <f>IFERROR(__xludf.DUMMYFUNCTION("""COMPUTED_VALUE"""),"MMF")</f>
        <v>MMF</v>
      </c>
      <c r="F30" s="18"/>
      <c r="G30" s="18" t="str">
        <f>IFERROR(__xludf.DUMMYFUNCTION("""COMPUTED_VALUE"""),"Reverse Harem
Five MMCs and one FMC
Keeping MMCs anonymous because some spoilers are give. That you don’t learn about until later readings. 
FMC: doesn’t remember before she was 11, went through horrible foster care, undergoes an actual rape by her ex in "&amp;"the books, has horrible scars, was suicidal at one point, deals with a lot of self loathing and self hate. 
MMCs 1 and 2: sons of a horrible mafia leader working to take him down. MMC1 forced to do things to protect MMC2
MMC3: best friends with 1,2,&amp;4. Ha"&amp;"d a sadomasochistic side, secretly knows FMC prior to her amnesia. Went through severe trauma by his parents
MMC4: also friends with everyone, met FMC in the first novella, hates himself because he thinks he could have protected her if he hadn’t kept her "&amp;"away from him. 
MMC5: doesn’t accept his true feelings until much later, was forced to hurt FMC while they were foster kids. Best friends with FMC. 
")</f>
        <v>Reverse Harem
Five MMCs and one FMC
Keeping MMCs anonymous because some spoilers are give. That you don’t learn about until later readings. 
FMC: doesn’t remember before she was 11, went through horrible foster care, undergoes an actual rape by her ex in the books, has horrible scars, was suicidal at one point, deals with a lot of self loathing and self hate. 
MMCs 1 and 2: sons of a horrible mafia leader working to take him down. MMC1 forced to do things to protect MMC2
MMC3: best friends with 1,2,&amp;4. Had a sadomasochistic side, secretly knows FMC prior to her amnesia. Went through severe trauma by his parents
MMC4: also friends with everyone, met FMC in the first novella, hates himself because he thinks he could have protected her if he hadn’t kept her away from him. 
MMC5: doesn’t accept his true feelings until much later, was forced to hurt FMC while they were foster kids. Best friends with FMC. 
</v>
      </c>
      <c r="H30" s="18" t="str">
        <f>IFERROR(__xludf.DUMMYFUNCTION("""COMPUTED_VALUE"""),"Dual POV")</f>
        <v>Dual POV</v>
      </c>
      <c r="I30" s="18" t="str">
        <f>IFERROR(__xludf.DUMMYFUNCTION("""COMPUTED_VALUE"""),"Contemporary, Dark, Erotic Romance")</f>
        <v>Contemporary, Dark, Erotic Romance</v>
      </c>
      <c r="J30" s="18" t="str">
        <f>IFERROR(__xludf.DUMMYFUNCTION("""COMPUTED_VALUE"""),"Age Difference, Amnesia, Angst, BDSM or Kink, Bodyguards &amp; Security, Childhood Friends, Friends-to-lovers, Grumpy/Sunshine, Hurt/Comfort, Insta-lust/Insta-love/Insta-coffee, Lawful/Chaotic, Loner/Isolated, Love Triangle, Mafia/Gang/Criminal, Pining/Yearni"&amp;"ng, Reverse Harem/Why Choose, Second Chance, Tattoos &amp; Piercings, Wounded Hero/Heroine &amp; War Heroes/Heroines")</f>
        <v>Age Difference, Amnesia, Angst, BDSM or Kink, Bodyguards &amp; Security, Childhood Friends, Friends-to-lovers, Grumpy/Sunshine, Hurt/Comfort, Insta-lust/Insta-love/Insta-coffee, Lawful/Chaotic, Loner/Isolated, Love Triangle, Mafia/Gang/Criminal, Pining/Yearning, Reverse Harem/Why Choose, Second Chance, Tattoos &amp; Piercings, Wounded Hero/Heroine &amp; War Heroes/Heroines</v>
      </c>
      <c r="K30" s="18" t="str">
        <f>IFERROR(__xludf.DUMMYFUNCTION("""COMPUTED_VALUE"""),"North America")</f>
        <v>North America</v>
      </c>
      <c r="L30" s="18" t="str">
        <f>IFERROR(__xludf.DUMMYFUNCTION("""COMPUTED_VALUE"""),"Level 4- Heavy sexual content, mature audiences only")</f>
        <v>Level 4- Heavy sexual content, mature audiences only</v>
      </c>
      <c r="M30" s="18" t="str">
        <f>IFERROR(__xludf.DUMMYFUNCTION("""COMPUTED_VALUE"""),"Anal sex, Blood Play, Bondage &amp; Restraints, Breath Play (eg.choking), Corruption Kink, Dirty Talk, Dom/Sub, Double Penetration, Edging/Orgasm Denial, Impact play (spanking etc), Knife Play, Maledom, Masochism, Oral sex - cunnilingus, Oral sex - fellatio, "&amp;"PIV sex (penis in vagina), Praise Kink, Sadism, Shibari ")</f>
        <v>Anal sex, Blood Play, Bondage &amp; Restraints, Breath Play (eg.choking), Corruption Kink, Dirty Talk, Dom/Sub, Double Penetration, Edging/Orgasm Denial, Impact play (spanking etc), Knife Play, Maledom, Masochism, Oral sex - cunnilingus, Oral sex - fellatio, PIV sex (penis in vagina), Praise Kink, Sadism, Shibari </v>
      </c>
      <c r="N30" s="18" t="str">
        <f>IFERROR(__xludf.DUMMYFUNCTION("""COMPUTED_VALUE"""),"Series- must be read in order")</f>
        <v>Series- must be read in order</v>
      </c>
      <c r="O30" s="18" t="str">
        <f>IFERROR(__xludf.DUMMYFUNCTION("""COMPUTED_VALUE"""),"Los diablos syndicate novella into ")</f>
        <v>Los diablos syndicate novella into </v>
      </c>
      <c r="P30" s="18" t="str">
        <f>IFERROR(__xludf.DUMMYFUNCTION("""COMPUTED_VALUE"""),"Swoon, Tingle, Laugh, Cry, Rage, Feel feels, Dream, Smolder")</f>
        <v>Swoon, Tingle, Laugh, Cry, Rage, Feel feels, Dream, Smolder</v>
      </c>
      <c r="Q30" s="18" t="str">
        <f>IFERROR(__xludf.DUMMYFUNCTION("""COMPUTED_VALUE"""),"Rape, assault, very detailed injuries, blood, forced ")</f>
        <v>Rape, assault, very detailed injuries, blood, forced </v>
      </c>
      <c r="R30" s="19" t="str">
        <f>IFERROR(__xludf.DUMMYFUNCTION("""COMPUTED_VALUE"""),"No")</f>
        <v>No</v>
      </c>
      <c r="S30" s="20" t="str">
        <f>IFERROR(__xludf.DUMMYFUNCTION("""COMPUTED_VALUE"""),"https://www.goodreads.com/book/show/60682598")</f>
        <v>https://www.goodreads.com/book/show/60682598</v>
      </c>
    </row>
    <row r="31">
      <c r="A31" s="16">
        <f>IFERROR(__xludf.DUMMYFUNCTION("""COMPUTED_VALUE"""),44780.62198012731)</f>
        <v>44780.62198</v>
      </c>
      <c r="B31" s="13" t="str">
        <f>IFERROR(__xludf.DUMMYFUNCTION("""COMPUTED_VALUE"""),"Add new entry")</f>
        <v>Add new entry</v>
      </c>
      <c r="C31" s="17" t="str">
        <f>IFERROR(__xludf.DUMMYFUNCTION("""COMPUTED_VALUE"""),"Broken Records")</f>
        <v>Broken Records</v>
      </c>
      <c r="D31" s="18" t="str">
        <f>IFERROR(__xludf.DUMMYFUNCTION("""COMPUTED_VALUE"""),"Bree Bennett")</f>
        <v>Bree Bennett</v>
      </c>
      <c r="E31" s="18" t="str">
        <f>IFERROR(__xludf.DUMMYFUNCTION("""COMPUTED_VALUE"""),"M/F")</f>
        <v>M/F</v>
      </c>
      <c r="F31" s="18" t="str">
        <f>IFERROR(__xludf.DUMMYFUNCTION("""COMPUTED_VALUE"""),"Neurodivergent (Autism, ADHD, dyspraxia, dyslexia, etc)")</f>
        <v>Neurodivergent (Autism, ADHD, dyspraxia, dyslexia, etc)</v>
      </c>
      <c r="G31" s="18"/>
      <c r="H31" s="18"/>
      <c r="I31" s="18" t="str">
        <f>IFERROR(__xludf.DUMMYFUNCTION("""COMPUTED_VALUE"""),"Contemporary, Romantic Comedy")</f>
        <v>Contemporary, Romantic Comedy</v>
      </c>
      <c r="J31" s="18" t="str">
        <f>IFERROR(__xludf.DUMMYFUNCTION("""COMPUTED_VALUE"""),"Celebrities- Rock star/Actor/Model, Fake Relationship, Hurt/Comfort, Marriage of Convenience (or arranged marriage), Slow Burn")</f>
        <v>Celebrities- Rock star/Actor/Model, Fake Relationship, Hurt/Comfort, Marriage of Convenience (or arranged marriage), Slow Burn</v>
      </c>
      <c r="K31" s="18"/>
      <c r="L31" s="18" t="str">
        <f>IFERROR(__xludf.DUMMYFUNCTION("""COMPUTED_VALUE"""),"Level 2- Kisses and foreplay, everything else closed door")</f>
        <v>Level 2- Kisses and foreplay, everything else closed door</v>
      </c>
      <c r="M31" s="18"/>
      <c r="N31" s="18"/>
      <c r="O31" s="18" t="str">
        <f>IFERROR(__xludf.DUMMYFUNCTION("""COMPUTED_VALUE"""),"Sparrow hill Stories #1")</f>
        <v>Sparrow hill Stories #1</v>
      </c>
      <c r="P31" s="18" t="str">
        <f>IFERROR(__xludf.DUMMYFUNCTION("""COMPUTED_VALUE"""),"Swoon, Laugh")</f>
        <v>Swoon, Laugh</v>
      </c>
      <c r="Q31" s="18" t="str">
        <f>IFERROR(__xludf.DUMMYFUNCTION("""COMPUTED_VALUE"""),"previous domestic abuse, PTSD, alcoholism, mentions of drug use")</f>
        <v>previous domestic abuse, PTSD, alcoholism, mentions of drug use</v>
      </c>
      <c r="R31" s="19" t="str">
        <f>IFERROR(__xludf.DUMMYFUNCTION("""COMPUTED_VALUE"""),"No")</f>
        <v>No</v>
      </c>
      <c r="S31" s="20" t="str">
        <f>IFERROR(__xludf.DUMMYFUNCTION("""COMPUTED_VALUE"""),"https://www.goodreads.com/book/show/58415536-broken-records")</f>
        <v>https://www.goodreads.com/book/show/58415536-broken-records</v>
      </c>
    </row>
    <row r="32">
      <c r="A32" s="16">
        <f>IFERROR(__xludf.DUMMYFUNCTION("""COMPUTED_VALUE"""),44780.62336799769)</f>
        <v>44780.62337</v>
      </c>
      <c r="B32" s="13" t="str">
        <f>IFERROR(__xludf.DUMMYFUNCTION("""COMPUTED_VALUE"""),"Add new entry")</f>
        <v>Add new entry</v>
      </c>
      <c r="C32" s="17" t="str">
        <f>IFERROR(__xludf.DUMMYFUNCTION("""COMPUTED_VALUE"""),"Ringmaster")</f>
        <v>Ringmaster</v>
      </c>
      <c r="D32" s="18" t="str">
        <f>IFERROR(__xludf.DUMMYFUNCTION("""COMPUTED_VALUE"""),"Brianna Hale")</f>
        <v>Brianna Hale</v>
      </c>
      <c r="E32" s="18" t="str">
        <f>IFERROR(__xludf.DUMMYFUNCTION("""COMPUTED_VALUE"""),"M/F")</f>
        <v>M/F</v>
      </c>
      <c r="F32" s="18"/>
      <c r="G32" s="18"/>
      <c r="H32" s="18" t="str">
        <f>IFERROR(__xludf.DUMMYFUNCTION("""COMPUTED_VALUE"""),"Dual POV")</f>
        <v>Dual POV</v>
      </c>
      <c r="I32" s="18" t="str">
        <f>IFERROR(__xludf.DUMMYFUNCTION("""COMPUTED_VALUE"""),"Contemporary")</f>
        <v>Contemporary</v>
      </c>
      <c r="J32" s="18" t="str">
        <f>IFERROR(__xludf.DUMMYFUNCTION("""COMPUTED_VALUE"""),"Age Difference, Coworkers or Colleagues, Slow Burn, Sweet MC- beta hero/kindhearted heroine/etc")</f>
        <v>Age Difference, Coworkers or Colleagues, Slow Burn, Sweet MC- beta hero/kindhearted heroine/etc</v>
      </c>
      <c r="K32" s="18"/>
      <c r="L32" s="18" t="str">
        <f>IFERROR(__xludf.DUMMYFUNCTION("""COMPUTED_VALUE"""),"Level 3- Sexual content in a few chapters")</f>
        <v>Level 3- Sexual content in a few chapters</v>
      </c>
      <c r="M32" s="18"/>
      <c r="N32" s="18"/>
      <c r="O32" s="18"/>
      <c r="P32" s="18" t="str">
        <f>IFERROR(__xludf.DUMMYFUNCTION("""COMPUTED_VALUE"""),"Swoon, Feel feels")</f>
        <v>Swoon, Feel feels</v>
      </c>
      <c r="Q32" s="18" t="str">
        <f>IFERROR(__xludf.DUMMYFUNCTION("""COMPUTED_VALUE"""),"Assault (from parent - limited to a few pages)")</f>
        <v>Assault (from parent - limited to a few pages)</v>
      </c>
      <c r="R32" s="19" t="str">
        <f>IFERROR(__xludf.DUMMYFUNCTION("""COMPUTED_VALUE"""),"No")</f>
        <v>No</v>
      </c>
      <c r="S32" s="20" t="str">
        <f>IFERROR(__xludf.DUMMYFUNCTION("""COMPUTED_VALUE"""),"https://www.goodreads.com/book/show/53189351")</f>
        <v>https://www.goodreads.com/book/show/53189351</v>
      </c>
    </row>
    <row r="33">
      <c r="A33" s="16">
        <f>IFERROR(__xludf.DUMMYFUNCTION("""COMPUTED_VALUE"""),44780.63394105324)</f>
        <v>44780.63394</v>
      </c>
      <c r="B33" s="13" t="str">
        <f>IFERROR(__xludf.DUMMYFUNCTION("""COMPUTED_VALUE"""),"Add new entry")</f>
        <v>Add new entry</v>
      </c>
      <c r="C33" s="17" t="str">
        <f>IFERROR(__xludf.DUMMYFUNCTION("""COMPUTED_VALUE"""),"The Mixtape")</f>
        <v>The Mixtape</v>
      </c>
      <c r="D33" s="18" t="str">
        <f>IFERROR(__xludf.DUMMYFUNCTION("""COMPUTED_VALUE"""),"Brittainy C. Cherry")</f>
        <v>Brittainy C. Cherry</v>
      </c>
      <c r="E33" s="18" t="str">
        <f>IFERROR(__xludf.DUMMYFUNCTION("""COMPUTED_VALUE"""),"M/F")</f>
        <v>M/F</v>
      </c>
      <c r="F33" s="18" t="str">
        <f>IFERROR(__xludf.DUMMYFUNCTION("""COMPUTED_VALUE"""),"Mental disability or illness")</f>
        <v>Mental disability or illness</v>
      </c>
      <c r="G33" s="18"/>
      <c r="H33" s="18" t="str">
        <f>IFERROR(__xludf.DUMMYFUNCTION("""COMPUTED_VALUE"""),"Dual POV")</f>
        <v>Dual POV</v>
      </c>
      <c r="I33" s="18" t="str">
        <f>IFERROR(__xludf.DUMMYFUNCTION("""COMPUTED_VALUE"""),"Contemporary")</f>
        <v>Contemporary</v>
      </c>
      <c r="J33" s="18" t="str">
        <f>IFERROR(__xludf.DUMMYFUNCTION("""COMPUTED_VALUE"""),"Hurt/Comfort")</f>
        <v>Hurt/Comfort</v>
      </c>
      <c r="K33" s="18"/>
      <c r="L33" s="18" t="str">
        <f>IFERROR(__xludf.DUMMYFUNCTION("""COMPUTED_VALUE"""),"Level 2- Kisses and foreplay, everything else closed door")</f>
        <v>Level 2- Kisses and foreplay, everything else closed door</v>
      </c>
      <c r="M33" s="18"/>
      <c r="N33" s="18" t="str">
        <f>IFERROR(__xludf.DUMMYFUNCTION("""COMPUTED_VALUE"""),"Standalone (not part of a series)")</f>
        <v>Standalone (not part of a series)</v>
      </c>
      <c r="O33" s="18"/>
      <c r="P33" s="18" t="str">
        <f>IFERROR(__xludf.DUMMYFUNCTION("""COMPUTED_VALUE"""),"Swoon, Cry, Inspired")</f>
        <v>Swoon, Cry, Inspired</v>
      </c>
      <c r="Q33" s="18" t="str">
        <f>IFERROR(__xludf.DUMMYFUNCTION("""COMPUTED_VALUE"""),"Rape, Depression")</f>
        <v>Rape, Depression</v>
      </c>
      <c r="R33" s="19" t="str">
        <f>IFERROR(__xludf.DUMMYFUNCTION("""COMPUTED_VALUE"""),"Yes")</f>
        <v>Yes</v>
      </c>
      <c r="S33" s="20" t="str">
        <f>IFERROR(__xludf.DUMMYFUNCTION("""COMPUTED_VALUE"""),"https://www.goodreads.com/book/show/55747432")</f>
        <v>https://www.goodreads.com/book/show/55747432</v>
      </c>
    </row>
    <row r="34">
      <c r="A34" s="16">
        <f>IFERROR(__xludf.DUMMYFUNCTION("""COMPUTED_VALUE"""),44887.79283068287)</f>
        <v>44887.79283</v>
      </c>
      <c r="B34" s="13" t="str">
        <f>IFERROR(__xludf.DUMMYFUNCTION("""COMPUTED_VALUE"""),"Add new entry")</f>
        <v>Add new entry</v>
      </c>
      <c r="C34" s="17" t="str">
        <f>IFERROR(__xludf.DUMMYFUNCTION("""COMPUTED_VALUE"""),"Morning Glory Milking Farm ")</f>
        <v>Morning Glory Milking Farm </v>
      </c>
      <c r="D34" s="18" t="str">
        <f>IFERROR(__xludf.DUMMYFUNCTION("""COMPUTED_VALUE"""),"C. M. Nascosta")</f>
        <v>C. M. Nascosta</v>
      </c>
      <c r="E34" s="18" t="str">
        <f>IFERROR(__xludf.DUMMYFUNCTION("""COMPUTED_VALUE"""),"M/F")</f>
        <v>M/F</v>
      </c>
      <c r="F34" s="18"/>
      <c r="G34" s="18" t="str">
        <f>IFERROR(__xludf.DUMMYFUNCTION("""COMPUTED_VALUE"""),"Minotaur MMC")</f>
        <v>Minotaur MMC</v>
      </c>
      <c r="H34" s="18"/>
      <c r="I34" s="18" t="str">
        <f>IFERROR(__xludf.DUMMYFUNCTION("""COMPUTED_VALUE"""),"Erotic Romance, Fantasy, Romantic Comedy")</f>
        <v>Erotic Romance, Fantasy, Romantic Comedy</v>
      </c>
      <c r="J34" s="18" t="str">
        <f>IFERROR(__xludf.DUMMYFUNCTION("""COMPUTED_VALUE"""),"Billionaires/Millionaires/Gazillionaires etc, Class Differences, Creatures or Monsters- Dragon/Orc/Fae/etc, Escort/Sex worker/Courtesan")</f>
        <v>Billionaires/Millionaires/Gazillionaires etc, Class Differences, Creatures or Monsters- Dragon/Orc/Fae/etc, Escort/Sex worker/Courtesan</v>
      </c>
      <c r="K34" s="18" t="str">
        <f>IFERROR(__xludf.DUMMYFUNCTION("""COMPUTED_VALUE"""),"Imaginary")</f>
        <v>Imaginary</v>
      </c>
      <c r="L34" s="18" t="str">
        <f>IFERROR(__xludf.DUMMYFUNCTION("""COMPUTED_VALUE"""),"Level 4- Heavy sexual content, mature audiences only")</f>
        <v>Level 4- Heavy sexual content, mature audiences only</v>
      </c>
      <c r="M34" s="18" t="str">
        <f>IFERROR(__xludf.DUMMYFUNCTION("""COMPUTED_VALUE"""),"Dirty Talk, Size Kink")</f>
        <v>Dirty Talk, Size Kink</v>
      </c>
      <c r="N34" s="18" t="str">
        <f>IFERROR(__xludf.DUMMYFUNCTION("""COMPUTED_VALUE"""),"Shared Universe")</f>
        <v>Shared Universe</v>
      </c>
      <c r="O34" s="18" t="str">
        <f>IFERROR(__xludf.DUMMYFUNCTION("""COMPUTED_VALUE"""),"Cambric Creek")</f>
        <v>Cambric Creek</v>
      </c>
      <c r="P34" s="18" t="str">
        <f>IFERROR(__xludf.DUMMYFUNCTION("""COMPUTED_VALUE"""),"Tingle, Laugh, Smolder")</f>
        <v>Tingle, Laugh, Smolder</v>
      </c>
      <c r="Q34" s="18"/>
      <c r="R34" s="19" t="str">
        <f>IFERROR(__xludf.DUMMYFUNCTION("""COMPUTED_VALUE"""),"No")</f>
        <v>No</v>
      </c>
      <c r="S34" s="20" t="str">
        <f>IFERROR(__xludf.DUMMYFUNCTION("""COMPUTED_VALUE"""),"https://www.goodreads.com/book/show/58678992-morning-glory-milking-farm")</f>
        <v>https://www.goodreads.com/book/show/58678992-morning-glory-milking-farm</v>
      </c>
    </row>
    <row r="35">
      <c r="A35" s="16">
        <f>IFERROR(__xludf.DUMMYFUNCTION("""COMPUTED_VALUE"""),44780.63987252314)</f>
        <v>44780.63987</v>
      </c>
      <c r="B35" s="13" t="str">
        <f>IFERROR(__xludf.DUMMYFUNCTION("""COMPUTED_VALUE"""),"Add new entry")</f>
        <v>Add new entry</v>
      </c>
      <c r="C35" s="17" t="str">
        <f>IFERROR(__xludf.DUMMYFUNCTION("""COMPUTED_VALUE"""),"Breaking Even")</f>
        <v>Breaking Even</v>
      </c>
      <c r="D35" s="18" t="str">
        <f>IFERROR(__xludf.DUMMYFUNCTION("""COMPUTED_VALUE"""),"C. M. Owens")</f>
        <v>C. M. Owens</v>
      </c>
      <c r="E35" s="18" t="str">
        <f>IFERROR(__xludf.DUMMYFUNCTION("""COMPUTED_VALUE"""),"M/F")</f>
        <v>M/F</v>
      </c>
      <c r="F35" s="18"/>
      <c r="G35" s="18"/>
      <c r="H35" s="18" t="str">
        <f>IFERROR(__xludf.DUMMYFUNCTION("""COMPUTED_VALUE"""),"Dual POV")</f>
        <v>Dual POV</v>
      </c>
      <c r="I35" s="18" t="str">
        <f>IFERROR(__xludf.DUMMYFUNCTION("""COMPUTED_VALUE"""),"Contemporary, Romantic Comedy")</f>
        <v>Contemporary, Romantic Comedy</v>
      </c>
      <c r="J35" s="18" t="str">
        <f>IFERROR(__xludf.DUMMYFUNCTION("""COMPUTED_VALUE"""),"Angst, Enemies-to-lovers (or dislike-to-love), Ordinary MC- Average looks or career, Opposites Attract")</f>
        <v>Angst, Enemies-to-lovers (or dislike-to-love), Ordinary MC- Average looks or career, Opposites Attract</v>
      </c>
      <c r="K35" s="18"/>
      <c r="L35" s="18" t="str">
        <f>IFERROR(__xludf.DUMMYFUNCTION("""COMPUTED_VALUE"""),"Level 3- Sexual content in a few chapters")</f>
        <v>Level 3- Sexual content in a few chapters</v>
      </c>
      <c r="M35" s="18"/>
      <c r="N35" s="18"/>
      <c r="O35" s="18" t="str">
        <f>IFERROR(__xludf.DUMMYFUNCTION("""COMPUTED_VALUE"""),"Sterling Shore #5")</f>
        <v>Sterling Shore #5</v>
      </c>
      <c r="P35" s="18" t="str">
        <f>IFERROR(__xludf.DUMMYFUNCTION("""COMPUTED_VALUE"""),"Swoon, Tingle, Laugh, Feel feels, Dream")</f>
        <v>Swoon, Tingle, Laugh, Feel feels, Dream</v>
      </c>
      <c r="Q35" s="18"/>
      <c r="R35" s="19" t="str">
        <f>IFERROR(__xludf.DUMMYFUNCTION("""COMPUTED_VALUE"""),"No")</f>
        <v>No</v>
      </c>
      <c r="S35" s="20" t="str">
        <f>IFERROR(__xludf.DUMMYFUNCTION("""COMPUTED_VALUE"""),"https://www.goodreads.com/book/show/24285685-breaking-even")</f>
        <v>https://www.goodreads.com/book/show/24285685-breaking-even</v>
      </c>
    </row>
    <row r="36">
      <c r="A36" s="16">
        <f>IFERROR(__xludf.DUMMYFUNCTION("""COMPUTED_VALUE"""),44780.63777570602)</f>
        <v>44780.63778</v>
      </c>
      <c r="B36" s="13" t="str">
        <f>IFERROR(__xludf.DUMMYFUNCTION("""COMPUTED_VALUE"""),"Add new entry")</f>
        <v>Add new entry</v>
      </c>
      <c r="C36" s="17" t="str">
        <f>IFERROR(__xludf.DUMMYFUNCTION("""COMPUTED_VALUE"""),"Filthy Rich Boys")</f>
        <v>Filthy Rich Boys</v>
      </c>
      <c r="D36" s="18" t="str">
        <f>IFERROR(__xludf.DUMMYFUNCTION("""COMPUTED_VALUE"""),"C. M. Stunich")</f>
        <v>C. M. Stunich</v>
      </c>
      <c r="E36" s="18" t="str">
        <f>IFERROR(__xludf.DUMMYFUNCTION("""COMPUTED_VALUE"""),"RH / Why choose ")</f>
        <v>RH / Why choose </v>
      </c>
      <c r="F36" s="18"/>
      <c r="G36" s="18"/>
      <c r="H36" s="18" t="str">
        <f>IFERROR(__xludf.DUMMYFUNCTION("""COMPUTED_VALUE"""),"Single POV")</f>
        <v>Single POV</v>
      </c>
      <c r="I36" s="18" t="str">
        <f>IFERROR(__xludf.DUMMYFUNCTION("""COMPUTED_VALUE"""),"Contemporary, Dark, Polyamorous, New Adult (NA)")</f>
        <v>Contemporary, Dark, Polyamorous, New Adult (NA)</v>
      </c>
      <c r="J36" s="18" t="str">
        <f>IFERROR(__xludf.DUMMYFUNCTION("""COMPUTED_VALUE"""),"Angst, Bully/Reformed Bully, Loner/Isolated, Reverse Harem/Why Choose")</f>
        <v>Angst, Bully/Reformed Bully, Loner/Isolated, Reverse Harem/Why Choose</v>
      </c>
      <c r="K36" s="18"/>
      <c r="L36" s="18" t="str">
        <f>IFERROR(__xludf.DUMMYFUNCTION("""COMPUTED_VALUE"""),"Level 4- Heavy sexual content, mature audiences only")</f>
        <v>Level 4- Heavy sexual content, mature audiences only</v>
      </c>
      <c r="M36" s="18"/>
      <c r="N36" s="18"/>
      <c r="O36" s="18" t="str">
        <f>IFERROR(__xludf.DUMMYFUNCTION("""COMPUTED_VALUE"""),"Rich Boys of Burberry Prep #1")</f>
        <v>Rich Boys of Burberry Prep #1</v>
      </c>
      <c r="P36" s="18" t="str">
        <f>IFERROR(__xludf.DUMMYFUNCTION("""COMPUTED_VALUE"""),"Tingle, Rage, Feel feels")</f>
        <v>Tingle, Rage, Feel feels</v>
      </c>
      <c r="Q36" s="18" t="str">
        <f>IFERROR(__xludf.DUMMYFUNCTION("""COMPUTED_VALUE"""),"Abuse of Heroine, Assault, MCs in book are teenagers?")</f>
        <v>Abuse of Heroine, Assault, MCs in book are teenagers?</v>
      </c>
      <c r="R36" s="19" t="str">
        <f>IFERROR(__xludf.DUMMYFUNCTION("""COMPUTED_VALUE"""),"No")</f>
        <v>No</v>
      </c>
      <c r="S36" s="20" t="str">
        <f>IFERROR(__xludf.DUMMYFUNCTION("""COMPUTED_VALUE"""),"https://www.goodreads.com/book/show/44649884-filthy-rich-boys")</f>
        <v>https://www.goodreads.com/book/show/44649884-filthy-rich-boys</v>
      </c>
    </row>
    <row r="37">
      <c r="A37" s="16">
        <f>IFERROR(__xludf.DUMMYFUNCTION("""COMPUTED_VALUE"""),45200.68615790509)</f>
        <v>45200.68616</v>
      </c>
      <c r="B37" s="13" t="str">
        <f>IFERROR(__xludf.DUMMYFUNCTION("""COMPUTED_VALUE"""),"Add new entry")</f>
        <v>Add new entry</v>
      </c>
      <c r="C37" s="17" t="str">
        <f>IFERROR(__xludf.DUMMYFUNCTION("""COMPUTED_VALUE"""),"Two for Tea: Welcome to Azathé")</f>
        <v>Two for Tea: Welcome to Azathé</v>
      </c>
      <c r="D37" s="18" t="str">
        <f>IFERROR(__xludf.DUMMYFUNCTION("""COMPUTED_VALUE"""),"C.M. Nascosta ")</f>
        <v>C.M. Nascosta </v>
      </c>
      <c r="E37" s="18" t="str">
        <f>IFERROR(__xludf.DUMMYFUNCTION("""COMPUTED_VALUE"""),"F/NB")</f>
        <v>F/NB</v>
      </c>
      <c r="F37" s="18" t="str">
        <f>IFERROR(__xludf.DUMMYFUNCTION("""COMPUTED_VALUE"""),"LGBTQIA+ &amp; GSM (Gender and Sexual Minorities), Neurodivergent (Autism, ADHD, dyspraxia, dyslexia, etc)")</f>
        <v>LGBTQIA+ &amp; GSM (Gender and Sexual Minorities), Neurodivergent (Autism, ADHD, dyspraxia, dyslexia, etc)</v>
      </c>
      <c r="G37" s="18"/>
      <c r="H37" s="18" t="str">
        <f>IFERROR(__xludf.DUMMYFUNCTION("""COMPUTED_VALUE"""),"Single POV, Third person")</f>
        <v>Single POV, Third person</v>
      </c>
      <c r="I37" s="18" t="str">
        <f>IFERROR(__xludf.DUMMYFUNCTION("""COMPUTED_VALUE"""),"Contemporary, Paranormal")</f>
        <v>Contemporary, Paranormal</v>
      </c>
      <c r="J37" s="18" t="str">
        <f>IFERROR(__xludf.DUMMYFUNCTION("""COMPUTED_VALUE"""),"Creatures or Monsters- Dragon/Orc/Fae/etc, Hurt/Comfort, Loner/Isolated, Novella or Short Story, Small Town, Witch/Wizard/Warlock etc")</f>
        <v>Creatures or Monsters- Dragon/Orc/Fae/etc, Hurt/Comfort, Loner/Isolated, Novella or Short Story, Small Town, Witch/Wizard/Warlock etc</v>
      </c>
      <c r="K37" s="18" t="str">
        <f>IFERROR(__xludf.DUMMYFUNCTION("""COMPUTED_VALUE"""),"North America")</f>
        <v>North America</v>
      </c>
      <c r="L37" s="18" t="str">
        <f>IFERROR(__xludf.DUMMYFUNCTION("""COMPUTED_VALUE"""),"Level 3- Sexual content in a few chapters")</f>
        <v>Level 3- Sexual content in a few chapters</v>
      </c>
      <c r="M37" s="18"/>
      <c r="N37" s="18" t="str">
        <f>IFERROR(__xludf.DUMMYFUNCTION("""COMPUTED_VALUE"""),"Shared Universe")</f>
        <v>Shared Universe</v>
      </c>
      <c r="O37" s="18" t="str">
        <f>IFERROR(__xludf.DUMMYFUNCTION("""COMPUTED_VALUE"""),"Cambric Creek #4")</f>
        <v>Cambric Creek #4</v>
      </c>
      <c r="P37" s="18" t="str">
        <f>IFERROR(__xludf.DUMMYFUNCTION("""COMPUTED_VALUE"""),"Cry, Feel feels")</f>
        <v>Cry, Feel feels</v>
      </c>
      <c r="Q37" s="18" t="str">
        <f>IFERROR(__xludf.DUMMYFUNCTION("""COMPUTED_VALUE"""),"Depression, Grief, Parental Death, Suicidal Ideation, Off-page Dubcon, Use of Holistic Medicine")</f>
        <v>Depression, Grief, Parental Death, Suicidal Ideation, Off-page Dubcon, Use of Holistic Medicine</v>
      </c>
      <c r="R37" s="19" t="str">
        <f>IFERROR(__xludf.DUMMYFUNCTION("""COMPUTED_VALUE"""),"No")</f>
        <v>No</v>
      </c>
      <c r="S37" s="20" t="str">
        <f>IFERROR(__xludf.DUMMYFUNCTION("""COMPUTED_VALUE"""),"https://www.goodreads.com/book/show/62856402-two-for-tea")</f>
        <v>https://www.goodreads.com/book/show/62856402-two-for-tea</v>
      </c>
    </row>
    <row r="38">
      <c r="A38" s="16">
        <f>IFERROR(__xludf.DUMMYFUNCTION("""COMPUTED_VALUE"""),44846.9371328125)</f>
        <v>44846.93713</v>
      </c>
      <c r="B38" s="13" t="str">
        <f>IFERROR(__xludf.DUMMYFUNCTION("""COMPUTED_VALUE"""),"Add new entry")</f>
        <v>Add new entry</v>
      </c>
      <c r="C38" s="17" t="str">
        <f>IFERROR(__xludf.DUMMYFUNCTION("""COMPUTED_VALUE"""),"Kept by Monsters")</f>
        <v>Kept by Monsters</v>
      </c>
      <c r="D38" s="18" t="str">
        <f>IFERROR(__xludf.DUMMYFUNCTION("""COMPUTED_VALUE"""),"Cait Cro")</f>
        <v>Cait Cro</v>
      </c>
      <c r="E38" s="18" t="str">
        <f>IFERROR(__xludf.DUMMYFUNCTION("""COMPUTED_VALUE"""),"Multiple: M/F, M/M/F, F/F. F/?")</f>
        <v>Multiple: M/F, M/M/F, F/F. F/?</v>
      </c>
      <c r="F38" s="18" t="str">
        <f>IFERROR(__xludf.DUMMYFUNCTION("""COMPUTED_VALUE"""),"LGBTQIA+ &amp; GSM (Gender and Sexual Minorities)")</f>
        <v>LGBTQIA+ &amp; GSM (Gender and Sexual Minorities)</v>
      </c>
      <c r="G38" s="18" t="str">
        <f>IFERROR(__xludf.DUMMYFUNCTION("""COMPUTED_VALUE"""),"Demitra learns she is a half succubus meant to feed on the magic of paranormal beings, and is set to inherit a house that ""serves"" them.  However, forces lurk behind every corner that aim to take control of her.")</f>
        <v>Demitra learns she is a half succubus meant to feed on the magic of paranormal beings, and is set to inherit a house that "serves" them.  However, forces lurk behind every corner that aim to take control of her.</v>
      </c>
      <c r="H38" s="18" t="str">
        <f>IFERROR(__xludf.DUMMYFUNCTION("""COMPUTED_VALUE"""),"First person")</f>
        <v>First person</v>
      </c>
      <c r="I38" s="18" t="str">
        <f>IFERROR(__xludf.DUMMYFUNCTION("""COMPUTED_VALUE"""),"Adventure, Erotic Romance, Fantasy, Paranormal, Polyamorous")</f>
        <v>Adventure, Erotic Romance, Fantasy, Paranormal, Polyamorous</v>
      </c>
      <c r="J38" s="18" t="str">
        <f>IFERROR(__xludf.DUMMYFUNCTION("""COMPUTED_VALUE"""),"Escort/Sex worker/Courtesan, Insta-lust/Insta-love/Insta-coffee, Menage, Reverse Harem/Why Choose, Vampire, Undead etc, Witch/Wizard/Warlock etc")</f>
        <v>Escort/Sex worker/Courtesan, Insta-lust/Insta-love/Insta-coffee, Menage, Reverse Harem/Why Choose, Vampire, Undead etc, Witch/Wizard/Warlock etc</v>
      </c>
      <c r="K38" s="18" t="str">
        <f>IFERROR(__xludf.DUMMYFUNCTION("""COMPUTED_VALUE"""),"North America")</f>
        <v>North America</v>
      </c>
      <c r="L38" s="18" t="str">
        <f>IFERROR(__xludf.DUMMYFUNCTION("""COMPUTED_VALUE"""),"Level 5- My Kindle melted, primarily erotica")</f>
        <v>Level 5- My Kindle melted, primarily erotica</v>
      </c>
      <c r="M38" s="18" t="str">
        <f>IFERROR(__xludf.DUMMYFUNCTION("""COMPUTED_VALUE"""),"Anal sex, Double Penetration, Edging/Orgasm Denial, Oral sex - cunnilingus, Oral sex - fellatio, Pegging, PIV sex (penis in vagina), Primal Kink, Voyeurism")</f>
        <v>Anal sex, Double Penetration, Edging/Orgasm Denial, Oral sex - cunnilingus, Oral sex - fellatio, Pegging, PIV sex (penis in vagina), Primal Kink, Voyeurism</v>
      </c>
      <c r="N38" s="18" t="str">
        <f>IFERROR(__xludf.DUMMYFUNCTION("""COMPUTED_VALUE"""),"Series- must be read in order")</f>
        <v>Series- must be read in order</v>
      </c>
      <c r="O38" s="18"/>
      <c r="P38" s="18" t="str">
        <f>IFERROR(__xludf.DUMMYFUNCTION("""COMPUTED_VALUE"""),"Tingle, Laugh, Smolder, Transported")</f>
        <v>Tingle, Laugh, Smolder, Transported</v>
      </c>
      <c r="Q38" s="18" t="str">
        <f>IFERROR(__xludf.DUMMYFUNCTION("""COMPUTED_VALUE"""),"Mention of but not depictions of rape.   Some action/violence.")</f>
        <v>Mention of but not depictions of rape.   Some action/violence.</v>
      </c>
      <c r="R38" s="19" t="str">
        <f>IFERROR(__xludf.DUMMYFUNCTION("""COMPUTED_VALUE"""),"Yes")</f>
        <v>Yes</v>
      </c>
      <c r="S38" s="20" t="str">
        <f>IFERROR(__xludf.DUMMYFUNCTION("""COMPUTED_VALUE"""),"https://www.goodreads.com/book/show/48552218-kept-by-monsters")</f>
        <v>https://www.goodreads.com/book/show/48552218-kept-by-monsters</v>
      </c>
    </row>
    <row r="39">
      <c r="A39" s="16">
        <f>IFERROR(__xludf.DUMMYFUNCTION("""COMPUTED_VALUE"""),44780.64182564814)</f>
        <v>44780.64183</v>
      </c>
      <c r="B39" s="13" t="str">
        <f>IFERROR(__xludf.DUMMYFUNCTION("""COMPUTED_VALUE"""),"Add new entry")</f>
        <v>Add new entry</v>
      </c>
      <c r="C39" s="17" t="str">
        <f>IFERROR(__xludf.DUMMYFUNCTION("""COMPUTED_VALUE"""),"The Guy in the Window")</f>
        <v>The Guy in the Window</v>
      </c>
      <c r="D39" s="18" t="str">
        <f>IFERROR(__xludf.DUMMYFUNCTION("""COMPUTED_VALUE"""),"Cara Dee")</f>
        <v>Cara Dee</v>
      </c>
      <c r="E39" s="18" t="str">
        <f>IFERROR(__xludf.DUMMYFUNCTION("""COMPUTED_VALUE"""),"M/M")</f>
        <v>M/M</v>
      </c>
      <c r="F39" s="18" t="str">
        <f>IFERROR(__xludf.DUMMYFUNCTION("""COMPUTED_VALUE"""),"LGBTQIA+ &amp; GSM (Gender and Sexual Minorities)")</f>
        <v>LGBTQIA+ &amp; GSM (Gender and Sexual Minorities)</v>
      </c>
      <c r="G39" s="18"/>
      <c r="H39" s="18"/>
      <c r="I39" s="18" t="str">
        <f>IFERROR(__xludf.DUMMYFUNCTION("""COMPUTED_VALUE"""),"Contemporary")</f>
        <v>Contemporary</v>
      </c>
      <c r="J39" s="18" t="str">
        <f>IFERROR(__xludf.DUMMYFUNCTION("""COMPUTED_VALUE"""),"Age Difference, Foodies- Chef/Baker/Bartender etc, Forbidden or Taboo, Single Parent")</f>
        <v>Age Difference, Foodies- Chef/Baker/Bartender etc, Forbidden or Taboo, Single Parent</v>
      </c>
      <c r="K39" s="18"/>
      <c r="L39" s="18" t="str">
        <f>IFERROR(__xludf.DUMMYFUNCTION("""COMPUTED_VALUE"""),"Level 4- Heavy sexual content, mature audiences only")</f>
        <v>Level 4- Heavy sexual content, mature audiences only</v>
      </c>
      <c r="M39" s="18"/>
      <c r="N39" s="18" t="str">
        <f>IFERROR(__xludf.DUMMYFUNCTION("""COMPUTED_VALUE"""),"Standalone (not part of a series)")</f>
        <v>Standalone (not part of a series)</v>
      </c>
      <c r="O39" s="18"/>
      <c r="P39" s="18" t="str">
        <f>IFERROR(__xludf.DUMMYFUNCTION("""COMPUTED_VALUE"""),"Smolder, Learn, Inspired")</f>
        <v>Smolder, Learn, Inspired</v>
      </c>
      <c r="Q39" s="18"/>
      <c r="R39" s="19" t="str">
        <f>IFERROR(__xludf.DUMMYFUNCTION("""COMPUTED_VALUE"""),"No")</f>
        <v>No</v>
      </c>
      <c r="S39" s="20" t="str">
        <f>IFERROR(__xludf.DUMMYFUNCTION("""COMPUTED_VALUE"""),"https://www.goodreads.com/book/show/48715915-the-guy-in-the-window")</f>
        <v>https://www.goodreads.com/book/show/48715915-the-guy-in-the-window</v>
      </c>
    </row>
    <row r="40">
      <c r="A40" s="16">
        <f>IFERROR(__xludf.DUMMYFUNCTION("""COMPUTED_VALUE"""),44809.11076883102)</f>
        <v>44809.11077</v>
      </c>
      <c r="B40" s="13" t="str">
        <f>IFERROR(__xludf.DUMMYFUNCTION("""COMPUTED_VALUE"""),"Add new entry")</f>
        <v>Add new entry</v>
      </c>
      <c r="C40" s="17" t="str">
        <f>IFERROR(__xludf.DUMMYFUNCTION("""COMPUTED_VALUE"""),"Take Me, Break Me")</f>
        <v>Take Me, Break Me</v>
      </c>
      <c r="D40" s="18" t="str">
        <f>IFERROR(__xludf.DUMMYFUNCTION("""COMPUTED_VALUE"""),"Cari Silverwood")</f>
        <v>Cari Silverwood</v>
      </c>
      <c r="E40" s="18" t="str">
        <f>IFERROR(__xludf.DUMMYFUNCTION("""COMPUTED_VALUE"""),"M/F")</f>
        <v>M/F</v>
      </c>
      <c r="F40" s="18"/>
      <c r="G40" s="18"/>
      <c r="H40" s="18" t="str">
        <f>IFERROR(__xludf.DUMMYFUNCTION("""COMPUTED_VALUE"""),"Dual POV")</f>
        <v>Dual POV</v>
      </c>
      <c r="I40" s="18" t="str">
        <f>IFERROR(__xludf.DUMMYFUNCTION("""COMPUTED_VALUE"""),"Contemporary, Erotic Romance")</f>
        <v>Contemporary, Erotic Romance</v>
      </c>
      <c r="J40" s="18" t="str">
        <f>IFERROR(__xludf.DUMMYFUNCTION("""COMPUTED_VALUE"""),"BDSM or Kink, Forced Proximity, Second Chance")</f>
        <v>BDSM or Kink, Forced Proximity, Second Chance</v>
      </c>
      <c r="K40" s="18" t="str">
        <f>IFERROR(__xludf.DUMMYFUNCTION("""COMPUTED_VALUE"""),"Australia &amp; NZ")</f>
        <v>Australia &amp; NZ</v>
      </c>
      <c r="L40" s="18" t="str">
        <f>IFERROR(__xludf.DUMMYFUNCTION("""COMPUTED_VALUE"""),"Level 4- Heavy sexual content, mature audiences only")</f>
        <v>Level 4- Heavy sexual content, mature audiences only</v>
      </c>
      <c r="M40" s="18" t="str">
        <f>IFERROR(__xludf.DUMMYFUNCTION("""COMPUTED_VALUE"""),"Anal sex, Bondage &amp; Restraints, Double Penetration, Edging/Orgasm Denial, Free Use, Impact play (spanking etc), Maledom, Oral sex - cunnilingus, Oral sex - fellatio, Pet Play, PIV sex (penis in vagina), Sadism, Sex Toy Play, Needle Play")</f>
        <v>Anal sex, Bondage &amp; Restraints, Double Penetration, Edging/Orgasm Denial, Free Use, Impact play (spanking etc), Maledom, Oral sex - cunnilingus, Oral sex - fellatio, Pet Play, PIV sex (penis in vagina), Sadism, Sex Toy Play, Needle Play</v>
      </c>
      <c r="N40" s="18" t="str">
        <f>IFERROR(__xludf.DUMMYFUNCTION("""COMPUTED_VALUE"""),"Series- must be read in order")</f>
        <v>Series- must be read in order</v>
      </c>
      <c r="O40" s="18" t="str">
        <f>IFERROR(__xludf.DUMMYFUNCTION("""COMPUTED_VALUE"""),"Pierced Hearts #1")</f>
        <v>Pierced Hearts #1</v>
      </c>
      <c r="P40" s="18" t="str">
        <f>IFERROR(__xludf.DUMMYFUNCTION("""COMPUTED_VALUE"""),"Tingle, Smolder")</f>
        <v>Tingle, Smolder</v>
      </c>
      <c r="Q40" s="18"/>
      <c r="R40" s="19" t="str">
        <f>IFERROR(__xludf.DUMMYFUNCTION("""COMPUTED_VALUE"""),"No")</f>
        <v>No</v>
      </c>
      <c r="S40" s="20" t="str">
        <f>IFERROR(__xludf.DUMMYFUNCTION("""COMPUTED_VALUE"""),"https://www.goodreads.com/book/show/17264796")</f>
        <v>https://www.goodreads.com/book/show/17264796</v>
      </c>
    </row>
    <row r="41">
      <c r="A41" s="16">
        <f>IFERROR(__xludf.DUMMYFUNCTION("""COMPUTED_VALUE"""),44780.64480025463)</f>
        <v>44780.6448</v>
      </c>
      <c r="B41" s="13" t="str">
        <f>IFERROR(__xludf.DUMMYFUNCTION("""COMPUTED_VALUE"""),"Add new entry")</f>
        <v>Add new entry</v>
      </c>
      <c r="C41" s="17" t="str">
        <f>IFERROR(__xludf.DUMMYFUNCTION("""COMPUTED_VALUE"""),"Storm")</f>
        <v>Storm</v>
      </c>
      <c r="D41" s="18" t="str">
        <f>IFERROR(__xludf.DUMMYFUNCTION("""COMPUTED_VALUE"""),"Carian Cole")</f>
        <v>Carian Cole</v>
      </c>
      <c r="E41" s="18" t="str">
        <f>IFERROR(__xludf.DUMMYFUNCTION("""COMPUTED_VALUE"""),"M/F")</f>
        <v>M/F</v>
      </c>
      <c r="F41" s="18"/>
      <c r="G41" s="18"/>
      <c r="H41" s="18" t="str">
        <f>IFERROR(__xludf.DUMMYFUNCTION("""COMPUTED_VALUE"""),"Dual POV, First person")</f>
        <v>Dual POV, First person</v>
      </c>
      <c r="I41" s="18" t="str">
        <f>IFERROR(__xludf.DUMMYFUNCTION("""COMPUTED_VALUE"""),"Contemporary")</f>
        <v>Contemporary</v>
      </c>
      <c r="J41" s="18" t="str">
        <f>IFERROR(__xludf.DUMMYFUNCTION("""COMPUTED_VALUE"""),"Celebrities- Rock star/Actor/Model, Forced Proximity, Opposites Attract, Tattoos &amp; Piercings")</f>
        <v>Celebrities- Rock star/Actor/Model, Forced Proximity, Opposites Attract, Tattoos &amp; Piercings</v>
      </c>
      <c r="K41" s="18"/>
      <c r="L41" s="18" t="str">
        <f>IFERROR(__xludf.DUMMYFUNCTION("""COMPUTED_VALUE"""),"Level 4- Heavy sexual content, mature audiences only")</f>
        <v>Level 4- Heavy sexual content, mature audiences only</v>
      </c>
      <c r="M41" s="18"/>
      <c r="N41" s="18"/>
      <c r="O41" s="18" t="str">
        <f>IFERROR(__xludf.DUMMYFUNCTION("""COMPUTED_VALUE"""),"Ashes &amp; Embers #1")</f>
        <v>Ashes &amp; Embers #1</v>
      </c>
      <c r="P41" s="18" t="str">
        <f>IFERROR(__xludf.DUMMYFUNCTION("""COMPUTED_VALUE"""),"Swoon, Tingle, Laugh, Smolder, Transported")</f>
        <v>Swoon, Tingle, Laugh, Smolder, Transported</v>
      </c>
      <c r="Q41" s="18"/>
      <c r="R41" s="19" t="str">
        <f>IFERROR(__xludf.DUMMYFUNCTION("""COMPUTED_VALUE"""),"No")</f>
        <v>No</v>
      </c>
      <c r="S41" s="20" t="str">
        <f>IFERROR(__xludf.DUMMYFUNCTION("""COMPUTED_VALUE"""),"https://www.goodreads.com/book/show/42832526-storm")</f>
        <v>https://www.goodreads.com/book/show/42832526-storm</v>
      </c>
    </row>
    <row r="42">
      <c r="A42" s="16">
        <f>IFERROR(__xludf.DUMMYFUNCTION("""COMPUTED_VALUE"""),44945.12212965277)</f>
        <v>44945.12213</v>
      </c>
      <c r="B42" s="13" t="str">
        <f>IFERROR(__xludf.DUMMYFUNCTION("""COMPUTED_VALUE"""),"Add new entry")</f>
        <v>Add new entry</v>
      </c>
      <c r="C42" s="17" t="str">
        <f>IFERROR(__xludf.DUMMYFUNCTION("""COMPUTED_VALUE"""),"Daughter of No Worlds")</f>
        <v>Daughter of No Worlds</v>
      </c>
      <c r="D42" s="18" t="str">
        <f>IFERROR(__xludf.DUMMYFUNCTION("""COMPUTED_VALUE"""),"Carissa Broadbent")</f>
        <v>Carissa Broadbent</v>
      </c>
      <c r="E42" s="18" t="str">
        <f>IFERROR(__xludf.DUMMYFUNCTION("""COMPUTED_VALUE"""),"M/F")</f>
        <v>M/F</v>
      </c>
      <c r="F42" s="18" t="str">
        <f>IFERROR(__xludf.DUMMYFUNCTION("""COMPUTED_VALUE"""),"BIPoC (Black, Indigenous, People of Colour), Vitiligo")</f>
        <v>BIPoC (Black, Indigenous, People of Colour), Vitiligo</v>
      </c>
      <c r="G42" s="18"/>
      <c r="H42" s="18" t="str">
        <f>IFERROR(__xludf.DUMMYFUNCTION("""COMPUTED_VALUE"""),"Third person, Multiple POV")</f>
        <v>Third person, Multiple POV</v>
      </c>
      <c r="I42" s="18" t="str">
        <f>IFERROR(__xludf.DUMMYFUNCTION("""COMPUTED_VALUE"""),"Adventure, Fantasy")</f>
        <v>Adventure, Fantasy</v>
      </c>
      <c r="J42" s="18" t="str">
        <f>IFERROR(__xludf.DUMMYFUNCTION("""COMPUTED_VALUE"""),"Amnesia, Forced Proximity, Grumpy/Sunshine, Sweet MC- beta hero/kindhearted heroine/etc")</f>
        <v>Amnesia, Forced Proximity, Grumpy/Sunshine, Sweet MC- beta hero/kindhearted heroine/etc</v>
      </c>
      <c r="K42" s="18"/>
      <c r="L42" s="18" t="str">
        <f>IFERROR(__xludf.DUMMYFUNCTION("""COMPUTED_VALUE"""),"Level 3- Sexual content in a few chapters")</f>
        <v>Level 3- Sexual content in a few chapters</v>
      </c>
      <c r="M42" s="18"/>
      <c r="N42" s="18" t="str">
        <f>IFERROR(__xludf.DUMMYFUNCTION("""COMPUTED_VALUE"""),"Series- must be read in order")</f>
        <v>Series- must be read in order</v>
      </c>
      <c r="O42" s="18" t="str">
        <f>IFERROR(__xludf.DUMMYFUNCTION("""COMPUTED_VALUE"""),"The war of lost hearts book #1")</f>
        <v>The war of lost hearts book #1</v>
      </c>
      <c r="P42" s="18" t="str">
        <f>IFERROR(__xludf.DUMMYFUNCTION("""COMPUTED_VALUE"""),"Swoon, Tingle, Laugh, Cry, Rage, Feel feels, Dream, Scared")</f>
        <v>Swoon, Tingle, Laugh, Cry, Rage, Feel feels, Dream, Scared</v>
      </c>
      <c r="Q42" s="18"/>
      <c r="R42" s="19" t="str">
        <f>IFERROR(__xludf.DUMMYFUNCTION("""COMPUTED_VALUE"""),"Yes")</f>
        <v>Yes</v>
      </c>
      <c r="S42" s="20" t="str">
        <f>IFERROR(__xludf.DUMMYFUNCTION("""COMPUTED_VALUE"""),"https://www.goodreads.com/book/show/49826643")</f>
        <v>https://www.goodreads.com/book/show/49826643</v>
      </c>
    </row>
    <row r="43">
      <c r="A43" s="16">
        <f>IFERROR(__xludf.DUMMYFUNCTION("""COMPUTED_VALUE"""),45176.755891851855)</f>
        <v>45176.75589</v>
      </c>
      <c r="B43" s="13" t="str">
        <f>IFERROR(__xludf.DUMMYFUNCTION("""COMPUTED_VALUE"""),"Add new entry")</f>
        <v>Add new entry</v>
      </c>
      <c r="C43" s="17" t="str">
        <f>IFERROR(__xludf.DUMMYFUNCTION("""COMPUTED_VALUE"""),"Fall Into You")</f>
        <v>Fall Into You</v>
      </c>
      <c r="D43" s="18" t="str">
        <f>IFERROR(__xludf.DUMMYFUNCTION("""COMPUTED_VALUE"""),"Caroline Frank")</f>
        <v>Caroline Frank</v>
      </c>
      <c r="E43" s="18" t="str">
        <f>IFERROR(__xludf.DUMMYFUNCTION("""COMPUTED_VALUE"""),"M/F")</f>
        <v>M/F</v>
      </c>
      <c r="F43" s="18"/>
      <c r="G43" s="18"/>
      <c r="H43" s="18" t="str">
        <f>IFERROR(__xludf.DUMMYFUNCTION("""COMPUTED_VALUE"""),"Dual POV")</f>
        <v>Dual POV</v>
      </c>
      <c r="I43" s="18" t="str">
        <f>IFERROR(__xludf.DUMMYFUNCTION("""COMPUTED_VALUE"""),"Contemporary, Romantic Comedy")</f>
        <v>Contemporary, Romantic Comedy</v>
      </c>
      <c r="J43" s="18" t="str">
        <f>IFERROR(__xludf.DUMMYFUNCTION("""COMPUTED_VALUE"""),"Best Friend's Sibling, Holidays, Hurt/Comfort, Insta-lust/Insta-love/Insta-coffee, Medical- Doctor/Nurse/Vet etc, Rake/Player, Small Town")</f>
        <v>Best Friend's Sibling, Holidays, Hurt/Comfort, Insta-lust/Insta-love/Insta-coffee, Medical- Doctor/Nurse/Vet etc, Rake/Player, Small Town</v>
      </c>
      <c r="K43" s="18" t="str">
        <f>IFERROR(__xludf.DUMMYFUNCTION("""COMPUTED_VALUE"""),"North America")</f>
        <v>North America</v>
      </c>
      <c r="L43" s="18" t="str">
        <f>IFERROR(__xludf.DUMMYFUNCTION("""COMPUTED_VALUE"""),"Level 4- Heavy sexual content, mature audiences only")</f>
        <v>Level 4- Heavy sexual content, mature audiences only</v>
      </c>
      <c r="M43" s="18"/>
      <c r="N43" s="18" t="str">
        <f>IFERROR(__xludf.DUMMYFUNCTION("""COMPUTED_VALUE"""),"Series- can be read as standalones")</f>
        <v>Series- can be read as standalones</v>
      </c>
      <c r="O43" s="18" t="str">
        <f>IFERROR(__xludf.DUMMYFUNCTION("""COMPUTED_VALUE"""),"Seasons of Love - 1")</f>
        <v>Seasons of Love - 1</v>
      </c>
      <c r="P43" s="18" t="str">
        <f>IFERROR(__xludf.DUMMYFUNCTION("""COMPUTED_VALUE"""),"Swoon, Tingle, Laugh, Cry, Feel feels")</f>
        <v>Swoon, Tingle, Laugh, Cry, Feel feels</v>
      </c>
      <c r="Q43" s="18"/>
      <c r="R43" s="19" t="str">
        <f>IFERROR(__xludf.DUMMYFUNCTION("""COMPUTED_VALUE"""),"No")</f>
        <v>No</v>
      </c>
      <c r="S43" s="20" t="str">
        <f>IFERROR(__xludf.DUMMYFUNCTION("""COMPUTED_VALUE"""),"https://www.goodreads.com/book/show/59088440-fall-into-you")</f>
        <v>https://www.goodreads.com/book/show/59088440-fall-into-you</v>
      </c>
    </row>
    <row r="44">
      <c r="A44" s="16">
        <f>IFERROR(__xludf.DUMMYFUNCTION("""COMPUTED_VALUE"""),45176.75723761573)</f>
        <v>45176.75724</v>
      </c>
      <c r="B44" s="13" t="str">
        <f>IFERROR(__xludf.DUMMYFUNCTION("""COMPUTED_VALUE"""),"Add new entry")</f>
        <v>Add new entry</v>
      </c>
      <c r="C44" s="17" t="str">
        <f>IFERROR(__xludf.DUMMYFUNCTION("""COMPUTED_VALUE"""),"Shall We Dance?")</f>
        <v>Shall We Dance?</v>
      </c>
      <c r="D44" s="18" t="str">
        <f>IFERROR(__xludf.DUMMYFUNCTION("""COMPUTED_VALUE"""),"Caroline Frank")</f>
        <v>Caroline Frank</v>
      </c>
      <c r="E44" s="18" t="str">
        <f>IFERROR(__xludf.DUMMYFUNCTION("""COMPUTED_VALUE"""),"M/F")</f>
        <v>M/F</v>
      </c>
      <c r="F44" s="18" t="str">
        <f>IFERROR(__xludf.DUMMYFUNCTION("""COMPUTED_VALUE"""),"Physical disability or illness")</f>
        <v>Physical disability or illness</v>
      </c>
      <c r="G44" s="18"/>
      <c r="H44" s="18" t="str">
        <f>IFERROR(__xludf.DUMMYFUNCTION("""COMPUTED_VALUE"""),"Dual POV")</f>
        <v>Dual POV</v>
      </c>
      <c r="I44" s="18" t="str">
        <f>IFERROR(__xludf.DUMMYFUNCTION("""COMPUTED_VALUE"""),"Contemporary, Romantic Comedy, Sports Romance")</f>
        <v>Contemporary, Romantic Comedy, Sports Romance</v>
      </c>
      <c r="J44" s="18" t="str">
        <f>IFERROR(__xludf.DUMMYFUNCTION("""COMPUTED_VALUE"""),"Coworkers or Colleagues, Enemies-to-lovers (or dislike-to-love), Fake Relationship, Forced Proximity, Grumpy/Sunshine, Holidays, Only One Bed")</f>
        <v>Coworkers or Colleagues, Enemies-to-lovers (or dislike-to-love), Fake Relationship, Forced Proximity, Grumpy/Sunshine, Holidays, Only One Bed</v>
      </c>
      <c r="K44" s="18" t="str">
        <f>IFERROR(__xludf.DUMMYFUNCTION("""COMPUTED_VALUE"""),"North America")</f>
        <v>North America</v>
      </c>
      <c r="L44" s="18" t="str">
        <f>IFERROR(__xludf.DUMMYFUNCTION("""COMPUTED_VALUE"""),"Level 4- Heavy sexual content, mature audiences only")</f>
        <v>Level 4- Heavy sexual content, mature audiences only</v>
      </c>
      <c r="M44" s="18" t="str">
        <f>IFERROR(__xludf.DUMMYFUNCTION("""COMPUTED_VALUE"""),"Dirty Talk")</f>
        <v>Dirty Talk</v>
      </c>
      <c r="N44" s="18" t="str">
        <f>IFERROR(__xludf.DUMMYFUNCTION("""COMPUTED_VALUE"""),"Series- can be read as standalones")</f>
        <v>Series- can be read as standalones</v>
      </c>
      <c r="O44" s="18" t="str">
        <f>IFERROR(__xludf.DUMMYFUNCTION("""COMPUTED_VALUE"""),"Seasons of Love - 2")</f>
        <v>Seasons of Love - 2</v>
      </c>
      <c r="P44" s="18" t="str">
        <f>IFERROR(__xludf.DUMMYFUNCTION("""COMPUTED_VALUE"""),"Swoon, Tingle, Laugh, Cry, Feel feels, Learn")</f>
        <v>Swoon, Tingle, Laugh, Cry, Feel feels, Learn</v>
      </c>
      <c r="Q44" s="18"/>
      <c r="R44" s="19" t="str">
        <f>IFERROR(__xludf.DUMMYFUNCTION("""COMPUTED_VALUE"""),"No")</f>
        <v>No</v>
      </c>
      <c r="S44" s="20" t="str">
        <f>IFERROR(__xludf.DUMMYFUNCTION("""COMPUTED_VALUE"""),"https://www.goodreads.com/book/show/60476072-shall-we-dance")</f>
        <v>https://www.goodreads.com/book/show/60476072-shall-we-dance</v>
      </c>
    </row>
    <row r="45">
      <c r="A45" s="16">
        <f>IFERROR(__xludf.DUMMYFUNCTION("""COMPUTED_VALUE"""),45176.758424085645)</f>
        <v>45176.75842</v>
      </c>
      <c r="B45" s="13" t="str">
        <f>IFERROR(__xludf.DUMMYFUNCTION("""COMPUTED_VALUE"""),"Add new entry")</f>
        <v>Add new entry</v>
      </c>
      <c r="C45" s="17" t="str">
        <f>IFERROR(__xludf.DUMMYFUNCTION("""COMPUTED_VALUE"""),"Happily Ever Disaster")</f>
        <v>Happily Ever Disaster</v>
      </c>
      <c r="D45" s="18" t="str">
        <f>IFERROR(__xludf.DUMMYFUNCTION("""COMPUTED_VALUE"""),"Caroline Frank")</f>
        <v>Caroline Frank</v>
      </c>
      <c r="E45" s="18" t="str">
        <f>IFERROR(__xludf.DUMMYFUNCTION("""COMPUTED_VALUE"""),"M/F")</f>
        <v>M/F</v>
      </c>
      <c r="F45" s="18"/>
      <c r="G45" s="18"/>
      <c r="H45" s="18" t="str">
        <f>IFERROR(__xludf.DUMMYFUNCTION("""COMPUTED_VALUE"""),"Dual POV")</f>
        <v>Dual POV</v>
      </c>
      <c r="I45" s="18" t="str">
        <f>IFERROR(__xludf.DUMMYFUNCTION("""COMPUTED_VALUE"""),"Contemporary, Romantic Comedy")</f>
        <v>Contemporary, Romantic Comedy</v>
      </c>
      <c r="J45" s="18" t="str">
        <f>IFERROR(__xludf.DUMMYFUNCTION("""COMPUTED_VALUE"""),"Best Friend's Sibling, Holidays, Insta-lust/Insta-love/Insta-coffee, Medical- Doctor/Nurse/Vet etc, Novella or Short Story")</f>
        <v>Best Friend's Sibling, Holidays, Insta-lust/Insta-love/Insta-coffee, Medical- Doctor/Nurse/Vet etc, Novella or Short Story</v>
      </c>
      <c r="K45" s="18" t="str">
        <f>IFERROR(__xludf.DUMMYFUNCTION("""COMPUTED_VALUE"""),"North America")</f>
        <v>North America</v>
      </c>
      <c r="L45" s="18" t="str">
        <f>IFERROR(__xludf.DUMMYFUNCTION("""COMPUTED_VALUE"""),"Level 4- Heavy sexual content, mature audiences only")</f>
        <v>Level 4- Heavy sexual content, mature audiences only</v>
      </c>
      <c r="M45" s="18" t="str">
        <f>IFERROR(__xludf.DUMMYFUNCTION("""COMPUTED_VALUE"""),"Dirty Talk")</f>
        <v>Dirty Talk</v>
      </c>
      <c r="N45" s="18" t="str">
        <f>IFERROR(__xludf.DUMMYFUNCTION("""COMPUTED_VALUE"""),"Series- must be read in order")</f>
        <v>Series- must be read in order</v>
      </c>
      <c r="O45" s="18" t="str">
        <f>IFERROR(__xludf.DUMMYFUNCTION("""COMPUTED_VALUE"""),"Seasons of Love - 2.5")</f>
        <v>Seasons of Love - 2.5</v>
      </c>
      <c r="P45" s="18" t="str">
        <f>IFERROR(__xludf.DUMMYFUNCTION("""COMPUTED_VALUE"""),"Swoon, Tingle, Laugh")</f>
        <v>Swoon, Tingle, Laugh</v>
      </c>
      <c r="Q45" s="18"/>
      <c r="R45" s="19" t="str">
        <f>IFERROR(__xludf.DUMMYFUNCTION("""COMPUTED_VALUE"""),"No")</f>
        <v>No</v>
      </c>
      <c r="S45" s="20" t="str">
        <f>IFERROR(__xludf.DUMMYFUNCTION("""COMPUTED_VALUE"""),"https://www.goodreads.com/book/show/197891098-second-chance-snowmance")</f>
        <v>https://www.goodreads.com/book/show/197891098-second-chance-snowmance</v>
      </c>
    </row>
    <row r="46">
      <c r="A46" s="16">
        <f>IFERROR(__xludf.DUMMYFUNCTION("""COMPUTED_VALUE"""),45187.3256945949)</f>
        <v>45187.32569</v>
      </c>
      <c r="B46" s="13" t="str">
        <f>IFERROR(__xludf.DUMMYFUNCTION("""COMPUTED_VALUE"""),"Add new entry")</f>
        <v>Add new entry</v>
      </c>
      <c r="C46" s="17" t="str">
        <f>IFERROR(__xludf.DUMMYFUNCTION("""COMPUTED_VALUE"""),"Kings of Quarantine")</f>
        <v>Kings of Quarantine</v>
      </c>
      <c r="D46" s="18" t="str">
        <f>IFERROR(__xludf.DUMMYFUNCTION("""COMPUTED_VALUE"""),"Caroline Peckham/Susanne Valenti")</f>
        <v>Caroline Peckham/Susanne Valenti</v>
      </c>
      <c r="E46" s="18" t="str">
        <f>IFERROR(__xludf.DUMMYFUNCTION("""COMPUTED_VALUE"""),"Reverse Harem")</f>
        <v>Reverse Harem</v>
      </c>
      <c r="F46" s="18"/>
      <c r="G46" s="18"/>
      <c r="H46" s="18" t="str">
        <f>IFERROR(__xludf.DUMMYFUNCTION("""COMPUTED_VALUE"""),"First person, Multiple POV")</f>
        <v>First person, Multiple POV</v>
      </c>
      <c r="I46" s="18" t="str">
        <f>IFERROR(__xludf.DUMMYFUNCTION("""COMPUTED_VALUE"""),"Contemporary, Dark, New Adult (NA), Polyamorous")</f>
        <v>Contemporary, Dark, New Adult (NA), Polyamorous</v>
      </c>
      <c r="J46" s="18" t="str">
        <f>IFERROR(__xludf.DUMMYFUNCTION("""COMPUTED_VALUE"""),"Athlete, BDSM or Kink, Bully/Reformed Bully, Enemies-to-lovers (or dislike-to-love), Forced Proximity, Outdoorsy- forest/hiking/camping etc, Reverse Harem/Why Choose")</f>
        <v>Athlete, BDSM or Kink, Bully/Reformed Bully, Enemies-to-lovers (or dislike-to-love), Forced Proximity, Outdoorsy- forest/hiking/camping etc, Reverse Harem/Why Choose</v>
      </c>
      <c r="K46" s="18" t="str">
        <f>IFERROR(__xludf.DUMMYFUNCTION("""COMPUTED_VALUE"""),"North America")</f>
        <v>North America</v>
      </c>
      <c r="L46" s="18" t="str">
        <f>IFERROR(__xludf.DUMMYFUNCTION("""COMPUTED_VALUE"""),"Level 4- Heavy sexual content, mature audiences only")</f>
        <v>Level 4- Heavy sexual content, mature audiences only</v>
      </c>
      <c r="M46" s="18" t="str">
        <f>IFERROR(__xludf.DUMMYFUNCTION("""COMPUTED_VALUE"""),"Bondage &amp; Restraints, Breath Play (eg.choking), Dirty Talk, Dom/Sub, Edging/Orgasm Denial, Impact play (spanking etc), Oral sex - cunnilingus, Oral sex - fellatio, PIV sex (penis in vagina), Praise Kink, Sadism, Sex Toy Play")</f>
        <v>Bondage &amp; Restraints, Breath Play (eg.choking), Dirty Talk, Dom/Sub, Edging/Orgasm Denial, Impact play (spanking etc), Oral sex - cunnilingus, Oral sex - fellatio, PIV sex (penis in vagina), Praise Kink, Sadism, Sex Toy Play</v>
      </c>
      <c r="N46" s="18" t="str">
        <f>IFERROR(__xludf.DUMMYFUNCTION("""COMPUTED_VALUE"""),"Series- must be read in order")</f>
        <v>Series- must be read in order</v>
      </c>
      <c r="O46" s="18" t="str">
        <f>IFERROR(__xludf.DUMMYFUNCTION("""COMPUTED_VALUE"""),"Brutal Boys of Everlake Prep #1")</f>
        <v>Brutal Boys of Everlake Prep #1</v>
      </c>
      <c r="P46" s="18" t="str">
        <f>IFERROR(__xludf.DUMMYFUNCTION("""COMPUTED_VALUE"""),"Swoon, Cry, Rage, Dream")</f>
        <v>Swoon, Cry, Rage, Dream</v>
      </c>
      <c r="Q46" s="18"/>
      <c r="R46" s="19" t="str">
        <f>IFERROR(__xludf.DUMMYFUNCTION("""COMPUTED_VALUE"""),"No")</f>
        <v>No</v>
      </c>
      <c r="S46" s="20" t="str">
        <f>IFERROR(__xludf.DUMMYFUNCTION("""COMPUTED_VALUE"""),"https://www.amazon.com/gp/product/B086HW5S41")</f>
        <v>https://www.amazon.com/gp/product/B086HW5S41</v>
      </c>
    </row>
    <row r="47">
      <c r="A47" s="16">
        <f>IFERROR(__xludf.DUMMYFUNCTION("""COMPUTED_VALUE"""),45124.24344663195)</f>
        <v>45124.24345</v>
      </c>
      <c r="B47" s="13" t="str">
        <f>IFERROR(__xludf.DUMMYFUNCTION("""COMPUTED_VALUE"""),"Add new entry")</f>
        <v>Add new entry</v>
      </c>
      <c r="C47" s="17" t="str">
        <f>IFERROR(__xludf.DUMMYFUNCTION("""COMPUTED_VALUE"""),"Dark Siren")</f>
        <v>Dark Siren</v>
      </c>
      <c r="D47" s="18" t="str">
        <f>IFERROR(__xludf.DUMMYFUNCTION("""COMPUTED_VALUE"""),"Cassandra B Andreucci ")</f>
        <v>Cassandra B Andreucci </v>
      </c>
      <c r="E47" s="18" t="str">
        <f>IFERROR(__xludf.DUMMYFUNCTION("""COMPUTED_VALUE"""),"M/F")</f>
        <v>M/F</v>
      </c>
      <c r="F47" s="18" t="str">
        <f>IFERROR(__xludf.DUMMYFUNCTION("""COMPUTED_VALUE"""),"Fat/Plus Size/Body Positive")</f>
        <v>Fat/Plus Size/Body Positive</v>
      </c>
      <c r="G47" s="18"/>
      <c r="H47" s="18" t="str">
        <f>IFERROR(__xludf.DUMMYFUNCTION("""COMPUTED_VALUE"""),"Dual POV, First person")</f>
        <v>Dual POV, First person</v>
      </c>
      <c r="I47" s="18" t="str">
        <f>IFERROR(__xludf.DUMMYFUNCTION("""COMPUTED_VALUE"""),"Dark, Erotic Romance, Romantic Suspense")</f>
        <v>Dark, Erotic Romance, Romantic Suspense</v>
      </c>
      <c r="J47" s="18" t="str">
        <f>IFERROR(__xludf.DUMMYFUNCTION("""COMPUTED_VALUE"""),"Age Difference, BDSM or Kink, Forbidden or Taboo, Mafia/Gang/Criminal")</f>
        <v>Age Difference, BDSM or Kink, Forbidden or Taboo, Mafia/Gang/Criminal</v>
      </c>
      <c r="K47" s="18" t="str">
        <f>IFERROR(__xludf.DUMMYFUNCTION("""COMPUTED_VALUE"""),"Australia &amp; NZ")</f>
        <v>Australia &amp; NZ</v>
      </c>
      <c r="L47" s="18" t="str">
        <f>IFERROR(__xludf.DUMMYFUNCTION("""COMPUTED_VALUE"""),"Level 4- Heavy sexual content, mature audiences only")</f>
        <v>Level 4- Heavy sexual content, mature audiences only</v>
      </c>
      <c r="M47" s="18" t="str">
        <f>IFERROR(__xludf.DUMMYFUNCTION("""COMPUTED_VALUE"""),"Bondage &amp; Restraints, Dirty Talk, Edging/Orgasm Denial, Impact play (spanking etc), Knife Play, Oral sex - cunnilingus, Oral sex - fellatio")</f>
        <v>Bondage &amp; Restraints, Dirty Talk, Edging/Orgasm Denial, Impact play (spanking etc), Knife Play, Oral sex - cunnilingus, Oral sex - fellatio</v>
      </c>
      <c r="N47" s="18" t="str">
        <f>IFERROR(__xludf.DUMMYFUNCTION("""COMPUTED_VALUE"""),"Series- must be read in order")</f>
        <v>Series- must be read in order</v>
      </c>
      <c r="O47" s="18" t="str">
        <f>IFERROR(__xludf.DUMMYFUNCTION("""COMPUTED_VALUE"""),"Vicious Games book #1")</f>
        <v>Vicious Games book #1</v>
      </c>
      <c r="P47" s="18" t="str">
        <f>IFERROR(__xludf.DUMMYFUNCTION("""COMPUTED_VALUE"""),"Swoon, Rage, Smolder")</f>
        <v>Swoon, Rage, Smolder</v>
      </c>
      <c r="Q47" s="18" t="str">
        <f>IFERROR(__xludf.DUMMYFUNCTION("""COMPUTED_VALUE"""),"Explicit sex scenes, violence, blood &amp; murder, depictions of domestic &amp; child abuse, allusions to child sexual abuse, depictions of a toxic relationship, harassment, bullying &amp; body shaming (not by the main couple), drug use, blasphemy, kink-related activ"&amp;"ities")</f>
        <v>Explicit sex scenes, violence, blood &amp; murder, depictions of domestic &amp; child abuse, allusions to child sexual abuse, depictions of a toxic relationship, harassment, bullying &amp; body shaming (not by the main couple), drug use, blasphemy, kink-related activities</v>
      </c>
      <c r="R47" s="19" t="str">
        <f>IFERROR(__xludf.DUMMYFUNCTION("""COMPUTED_VALUE"""),"No")</f>
        <v>No</v>
      </c>
      <c r="S47" s="20" t="str">
        <f>IFERROR(__xludf.DUMMYFUNCTION("""COMPUTED_VALUE"""),"https://www.goodreads.com/book/show/61068937-dark-siren")</f>
        <v>https://www.goodreads.com/book/show/61068937-dark-siren</v>
      </c>
    </row>
    <row r="48">
      <c r="A48" s="16">
        <f>IFERROR(__xludf.DUMMYFUNCTION("""COMPUTED_VALUE"""),44843.852889699076)</f>
        <v>44843.85289</v>
      </c>
      <c r="B48" s="13" t="str">
        <f>IFERROR(__xludf.DUMMYFUNCTION("""COMPUTED_VALUE"""),"Add new entry")</f>
        <v>Add new entry</v>
      </c>
      <c r="C48" s="17" t="str">
        <f>IFERROR(__xludf.DUMMYFUNCTION("""COMPUTED_VALUE"""),"Dark Siren")</f>
        <v>Dark Siren</v>
      </c>
      <c r="D48" s="18" t="str">
        <f>IFERROR(__xludf.DUMMYFUNCTION("""COMPUTED_VALUE"""),"Cassandra B. Andreucci")</f>
        <v>Cassandra B. Andreucci</v>
      </c>
      <c r="E48" s="18" t="str">
        <f>IFERROR(__xludf.DUMMYFUNCTION("""COMPUTED_VALUE"""),"M/F")</f>
        <v>M/F</v>
      </c>
      <c r="F48" s="18" t="str">
        <f>IFERROR(__xludf.DUMMYFUNCTION("""COMPUTED_VALUE"""),"Fat/Plus Size/Body Positive")</f>
        <v>Fat/Plus Size/Body Positive</v>
      </c>
      <c r="G48" s="18"/>
      <c r="H48" s="18" t="str">
        <f>IFERROR(__xludf.DUMMYFUNCTION("""COMPUTED_VALUE"""),"Dual POV, First person")</f>
        <v>Dual POV, First person</v>
      </c>
      <c r="I48" s="18" t="str">
        <f>IFERROR(__xludf.DUMMYFUNCTION("""COMPUTED_VALUE"""),"Dark, Erotic Romance")</f>
        <v>Dark, Erotic Romance</v>
      </c>
      <c r="J48" s="18" t="str">
        <f>IFERROR(__xludf.DUMMYFUNCTION("""COMPUTED_VALUE"""),"Age Difference, BDSM or Kink, Billionaires/Millionaires/Gazillionaires etc, Mafia/Gang/Criminal")</f>
        <v>Age Difference, BDSM or Kink, Billionaires/Millionaires/Gazillionaires etc, Mafia/Gang/Criminal</v>
      </c>
      <c r="K48" s="18" t="str">
        <f>IFERROR(__xludf.DUMMYFUNCTION("""COMPUTED_VALUE"""),"Australia &amp; NZ")</f>
        <v>Australia &amp; NZ</v>
      </c>
      <c r="L48" s="18" t="str">
        <f>IFERROR(__xludf.DUMMYFUNCTION("""COMPUTED_VALUE"""),"Level 4- Heavy sexual content, mature audiences only")</f>
        <v>Level 4- Heavy sexual content, mature audiences only</v>
      </c>
      <c r="M48" s="18" t="str">
        <f>IFERROR(__xludf.DUMMYFUNCTION("""COMPUTED_VALUE"""),"Bondage &amp; Restraints, Dirty Talk, Edging/Orgasm Denial, Impact play (spanking etc), Knife Play")</f>
        <v>Bondage &amp; Restraints, Dirty Talk, Edging/Orgasm Denial, Impact play (spanking etc), Knife Play</v>
      </c>
      <c r="N48" s="18" t="str">
        <f>IFERROR(__xludf.DUMMYFUNCTION("""COMPUTED_VALUE"""),"Series- must be read in order")</f>
        <v>Series- must be read in order</v>
      </c>
      <c r="O48" s="18" t="str">
        <f>IFERROR(__xludf.DUMMYFUNCTION("""COMPUTED_VALUE"""),"Vicious Games Book #1")</f>
        <v>Vicious Games Book #1</v>
      </c>
      <c r="P48" s="18" t="str">
        <f>IFERROR(__xludf.DUMMYFUNCTION("""COMPUTED_VALUE"""),"Tingle, Laugh, Cry, Rage, Smolder")</f>
        <v>Tingle, Laugh, Cry, Rage, Smolder</v>
      </c>
      <c r="Q48" s="18" t="str">
        <f>IFERROR(__xludf.DUMMYFUNCTION("""COMPUTED_VALUE"""),"Mentions and allusions to child physical abuse, domestic abuse, toxic relationship, body shaming and bullying, drug use, underage drinking, blood, murder, violence, explicit sexual content and kink related activities ")</f>
        <v>Mentions and allusions to child physical abuse, domestic abuse, toxic relationship, body shaming and bullying, drug use, underage drinking, blood, murder, violence, explicit sexual content and kink related activities </v>
      </c>
      <c r="R48" s="19" t="str">
        <f>IFERROR(__xludf.DUMMYFUNCTION("""COMPUTED_VALUE"""),"No")</f>
        <v>No</v>
      </c>
      <c r="S48" s="20" t="str">
        <f>IFERROR(__xludf.DUMMYFUNCTION("""COMPUTED_VALUE"""),"https://www.goodreads.com/book/show/61068937-dark-siren")</f>
        <v>https://www.goodreads.com/book/show/61068937-dark-siren</v>
      </c>
    </row>
    <row r="49">
      <c r="A49" s="16">
        <f>IFERROR(__xludf.DUMMYFUNCTION("""COMPUTED_VALUE"""),44780.647361284726)</f>
        <v>44780.64736</v>
      </c>
      <c r="B49" s="13" t="str">
        <f>IFERROR(__xludf.DUMMYFUNCTION("""COMPUTED_VALUE"""),"Add new entry")</f>
        <v>Add new entry</v>
      </c>
      <c r="C49" s="17" t="str">
        <f>IFERROR(__xludf.DUMMYFUNCTION("""COMPUTED_VALUE"""),"Wicked Ugly Bad")</f>
        <v>Wicked Ugly Bad</v>
      </c>
      <c r="D49" s="18" t="str">
        <f>IFERROR(__xludf.DUMMYFUNCTION("""COMPUTED_VALUE"""),"Cassandra Gannon")</f>
        <v>Cassandra Gannon</v>
      </c>
      <c r="E49" s="18" t="str">
        <f>IFERROR(__xludf.DUMMYFUNCTION("""COMPUTED_VALUE"""),"M/F")</f>
        <v>M/F</v>
      </c>
      <c r="F49" s="18"/>
      <c r="G49" s="18"/>
      <c r="H49" s="18"/>
      <c r="I49" s="18" t="str">
        <f>IFERROR(__xludf.DUMMYFUNCTION("""COMPUTED_VALUE"""),"Adventure, Fantasy &amp; Gothic, Romantic Comedy")</f>
        <v>Adventure, Fantasy &amp; Gothic, Romantic Comedy</v>
      </c>
      <c r="J49" s="18" t="str">
        <f>IFERROR(__xludf.DUMMYFUNCTION("""COMPUTED_VALUE"""),"Creatures or Monsters- Dragon/Orc/Fae/etc, Fated Mates, Retellings- Fairytale/Folklore/Mythology, Shifter/Wereperson")</f>
        <v>Creatures or Monsters- Dragon/Orc/Fae/etc, Fated Mates, Retellings- Fairytale/Folklore/Mythology, Shifter/Wereperson</v>
      </c>
      <c r="K49" s="18"/>
      <c r="L49" s="18" t="str">
        <f>IFERROR(__xludf.DUMMYFUNCTION("""COMPUTED_VALUE"""),"Level 3- Sexual content in a few chapters")</f>
        <v>Level 3- Sexual content in a few chapters</v>
      </c>
      <c r="M49" s="18"/>
      <c r="N49" s="18"/>
      <c r="O49" s="18" t="str">
        <f>IFERROR(__xludf.DUMMYFUNCTION("""COMPUTED_VALUE"""),"A Kinda Fairytale #1")</f>
        <v>A Kinda Fairytale #1</v>
      </c>
      <c r="P49" s="18" t="str">
        <f>IFERROR(__xludf.DUMMYFUNCTION("""COMPUTED_VALUE"""),"Laugh")</f>
        <v>Laugh</v>
      </c>
      <c r="Q49" s="18" t="str">
        <f>IFERROR(__xludf.DUMMYFUNCTION("""COMPUTED_VALUE"""),"false imprisonment of MC, prior sexual assault of MMC")</f>
        <v>false imprisonment of MC, prior sexual assault of MMC</v>
      </c>
      <c r="R49" s="19" t="str">
        <f>IFERROR(__xludf.DUMMYFUNCTION("""COMPUTED_VALUE"""),"No")</f>
        <v>No</v>
      </c>
      <c r="S49" s="20" t="str">
        <f>IFERROR(__xludf.DUMMYFUNCTION("""COMPUTED_VALUE"""),"https://www.goodreads.com/book/show/17609278-wicked-ugly-bad")</f>
        <v>https://www.goodreads.com/book/show/17609278-wicked-ugly-bad</v>
      </c>
    </row>
    <row r="50">
      <c r="A50" s="16">
        <f>IFERROR(__xludf.DUMMYFUNCTION("""COMPUTED_VALUE"""),44809.92486828704)</f>
        <v>44809.92487</v>
      </c>
      <c r="B50" s="13" t="str">
        <f>IFERROR(__xludf.DUMMYFUNCTION("""COMPUTED_VALUE"""),"Add new entry")</f>
        <v>Add new entry</v>
      </c>
      <c r="C50" s="17" t="str">
        <f>IFERROR(__xludf.DUMMYFUNCTION("""COMPUTED_VALUE"""),"Charge")</f>
        <v>Charge</v>
      </c>
      <c r="D50" s="18" t="str">
        <f>IFERROR(__xludf.DUMMYFUNCTION("""COMPUTED_VALUE"""),"Cate C Wells")</f>
        <v>Cate C Wells</v>
      </c>
      <c r="E50" s="18" t="str">
        <f>IFERROR(__xludf.DUMMYFUNCTION("""COMPUTED_VALUE"""),"M/F")</f>
        <v>M/F</v>
      </c>
      <c r="F50" s="18"/>
      <c r="G50" s="18" t="str">
        <f>IFERROR(__xludf.DUMMYFUNCTION("""COMPUTED_VALUE"""),"Struggling single mom moves in next to biker guy! ")</f>
        <v>Struggling single mom moves in next to biker guy! </v>
      </c>
      <c r="H50" s="18" t="str">
        <f>IFERROR(__xludf.DUMMYFUNCTION("""COMPUTED_VALUE"""),"Dual POV, First person")</f>
        <v>Dual POV, First person</v>
      </c>
      <c r="I50" s="18" t="str">
        <f>IFERROR(__xludf.DUMMYFUNCTION("""COMPUTED_VALUE"""),"Contemporary")</f>
        <v>Contemporary</v>
      </c>
      <c r="J50" s="18" t="str">
        <f>IFERROR(__xludf.DUMMYFUNCTION("""COMPUTED_VALUE"""),"Age Difference, Motorcycle Club, Outdoorsy- forest/hiking/camping etc, Single Parent, Small Town")</f>
        <v>Age Difference, Motorcycle Club, Outdoorsy- forest/hiking/camping etc, Single Parent, Small Town</v>
      </c>
      <c r="K50" s="18" t="str">
        <f>IFERROR(__xludf.DUMMYFUNCTION("""COMPUTED_VALUE"""),"North America")</f>
        <v>North America</v>
      </c>
      <c r="L50" s="18" t="str">
        <f>IFERROR(__xludf.DUMMYFUNCTION("""COMPUTED_VALUE"""),"Level 4- Heavy sexual content, mature audiences only")</f>
        <v>Level 4- Heavy sexual content, mature audiences only</v>
      </c>
      <c r="M50" s="18"/>
      <c r="N50" s="18" t="str">
        <f>IFERROR(__xludf.DUMMYFUNCTION("""COMPUTED_VALUE"""),"Series- can be read as standalones")</f>
        <v>Series- can be read as standalones</v>
      </c>
      <c r="O50" s="18" t="str">
        <f>IFERROR(__xludf.DUMMYFUNCTION("""COMPUTED_VALUE"""),"Steel Bones Motorcycle Club #1")</f>
        <v>Steel Bones Motorcycle Club #1</v>
      </c>
      <c r="P50" s="18" t="str">
        <f>IFERROR(__xludf.DUMMYFUNCTION("""COMPUTED_VALUE"""),"Swoon, Feel feels, Smolder, Inspired")</f>
        <v>Swoon, Feel feels, Smolder, Inspired</v>
      </c>
      <c r="Q50" s="18"/>
      <c r="R50" s="19" t="str">
        <f>IFERROR(__xludf.DUMMYFUNCTION("""COMPUTED_VALUE"""),"No")</f>
        <v>No</v>
      </c>
      <c r="S50" s="20" t="str">
        <f>IFERROR(__xludf.DUMMYFUNCTION("""COMPUTED_VALUE"""),"https://www.goodreads.com/book/show/51035708-charge")</f>
        <v>https://www.goodreads.com/book/show/51035708-charge</v>
      </c>
    </row>
    <row r="51">
      <c r="A51" s="16">
        <f>IFERROR(__xludf.DUMMYFUNCTION("""COMPUTED_VALUE"""),44813.21303023148)</f>
        <v>44813.21303</v>
      </c>
      <c r="B51" s="13" t="str">
        <f>IFERROR(__xludf.DUMMYFUNCTION("""COMPUTED_VALUE"""),"Add new entry")</f>
        <v>Add new entry</v>
      </c>
      <c r="C51" s="17" t="str">
        <f>IFERROR(__xludf.DUMMYFUNCTION("""COMPUTED_VALUE"""),"Against A Wall")</f>
        <v>Against A Wall</v>
      </c>
      <c r="D51" s="18" t="str">
        <f>IFERROR(__xludf.DUMMYFUNCTION("""COMPUTED_VALUE"""),"Cate C Wells")</f>
        <v>Cate C Wells</v>
      </c>
      <c r="E51" s="18" t="str">
        <f>IFERROR(__xludf.DUMMYFUNCTION("""COMPUTED_VALUE"""),"M/F")</f>
        <v>M/F</v>
      </c>
      <c r="F51" s="18"/>
      <c r="G51" s="18"/>
      <c r="H51" s="18" t="str">
        <f>IFERROR(__xludf.DUMMYFUNCTION("""COMPUTED_VALUE"""),"Dual POV")</f>
        <v>Dual POV</v>
      </c>
      <c r="I51" s="18" t="str">
        <f>IFERROR(__xludf.DUMMYFUNCTION("""COMPUTED_VALUE"""),"Contemporary")</f>
        <v>Contemporary</v>
      </c>
      <c r="J51" s="18" t="str">
        <f>IFERROR(__xludf.DUMMYFUNCTION("""COMPUTED_VALUE"""),"Bully/Reformed Bully, Class Differences, Enemies-to-lovers (or dislike-to-love), Fake Relationship, Grumpy/Sunshine, Ordinary MC- Average looks or career, Small Town")</f>
        <v>Bully/Reformed Bully, Class Differences, Enemies-to-lovers (or dislike-to-love), Fake Relationship, Grumpy/Sunshine, Ordinary MC- Average looks or career, Small Town</v>
      </c>
      <c r="K51" s="18" t="str">
        <f>IFERROR(__xludf.DUMMYFUNCTION("""COMPUTED_VALUE"""),"North America")</f>
        <v>North America</v>
      </c>
      <c r="L51" s="18" t="str">
        <f>IFERROR(__xludf.DUMMYFUNCTION("""COMPUTED_VALUE"""),"Level 4- Heavy sexual content, mature audiences only")</f>
        <v>Level 4- Heavy sexual content, mature audiences only</v>
      </c>
      <c r="M51" s="18"/>
      <c r="N51" s="18" t="str">
        <f>IFERROR(__xludf.DUMMYFUNCTION("""COMPUTED_VALUE"""),"Series- can be read as standalones")</f>
        <v>Series- can be read as standalones</v>
      </c>
      <c r="O51" s="18" t="str">
        <f>IFERROR(__xludf.DUMMYFUNCTION("""COMPUTED_VALUE"""),"Stonecut Country")</f>
        <v>Stonecut Country</v>
      </c>
      <c r="P51" s="18" t="str">
        <f>IFERROR(__xludf.DUMMYFUNCTION("""COMPUTED_VALUE"""),"Swoon, Tingle")</f>
        <v>Swoon, Tingle</v>
      </c>
      <c r="Q51" s="18"/>
      <c r="R51" s="19" t="str">
        <f>IFERROR(__xludf.DUMMYFUNCTION("""COMPUTED_VALUE"""),"No")</f>
        <v>No</v>
      </c>
      <c r="S51" s="20" t="str">
        <f>IFERROR(__xludf.DUMMYFUNCTION("""COMPUTED_VALUE"""),"https://www.goodreads.com/book/show/59725768-against-a-wall")</f>
        <v>https://www.goodreads.com/book/show/59725768-against-a-wall</v>
      </c>
    </row>
    <row r="52">
      <c r="A52" s="16">
        <f>IFERROR(__xludf.DUMMYFUNCTION("""COMPUTED_VALUE"""),45683.76765524306)</f>
        <v>45683.76766</v>
      </c>
      <c r="B52" s="13" t="str">
        <f>IFERROR(__xludf.DUMMYFUNCTION("""COMPUTED_VALUE"""),"Add new entry")</f>
        <v>Add new entry</v>
      </c>
      <c r="C52" s="17" t="str">
        <f>IFERROR(__xludf.DUMMYFUNCTION("""COMPUTED_VALUE"""),"Power Play")</f>
        <v>Power Play</v>
      </c>
      <c r="D52" s="18" t="str">
        <f>IFERROR(__xludf.DUMMYFUNCTION("""COMPUTED_VALUE"""),"Chelsea Curto")</f>
        <v>Chelsea Curto</v>
      </c>
      <c r="E52" s="18" t="str">
        <f>IFERROR(__xludf.DUMMYFUNCTION("""COMPUTED_VALUE"""),"M/F")</f>
        <v>M/F</v>
      </c>
      <c r="F52" s="18"/>
      <c r="G52" s="18"/>
      <c r="H52" s="18" t="str">
        <f>IFERROR(__xludf.DUMMYFUNCTION("""COMPUTED_VALUE"""),"Dual POV")</f>
        <v>Dual POV</v>
      </c>
      <c r="I52" s="18" t="str">
        <f>IFERROR(__xludf.DUMMYFUNCTION("""COMPUTED_VALUE"""),"Sports Romance")</f>
        <v>Sports Romance</v>
      </c>
      <c r="J52" s="18" t="str">
        <f>IFERROR(__xludf.DUMMYFUNCTION("""COMPUTED_VALUE"""),"Grumpy/Sunshine, Relationship Coach-  (ie; Teach me how to kiss)")</f>
        <v>Grumpy/Sunshine, Relationship Coach-  (ie; Teach me how to kiss)</v>
      </c>
      <c r="K52" s="18" t="str">
        <f>IFERROR(__xludf.DUMMYFUNCTION("""COMPUTED_VALUE"""),"North America")</f>
        <v>North America</v>
      </c>
      <c r="L52" s="18" t="str">
        <f>IFERROR(__xludf.DUMMYFUNCTION("""COMPUTED_VALUE"""),"Level 4- Heavy sexual content, mature audiences only")</f>
        <v>Level 4- Heavy sexual content, mature audiences only</v>
      </c>
      <c r="M52" s="18"/>
      <c r="N52" s="18" t="str">
        <f>IFERROR(__xludf.DUMMYFUNCTION("""COMPUTED_VALUE"""),"Series- can be read as standalones")</f>
        <v>Series- can be read as standalones</v>
      </c>
      <c r="O52" s="18" t="str">
        <f>IFERROR(__xludf.DUMMYFUNCTION("""COMPUTED_VALUE"""),"The D.C. Stars")</f>
        <v>The D.C. Stars</v>
      </c>
      <c r="P52" s="18" t="str">
        <f>IFERROR(__xludf.DUMMYFUNCTION("""COMPUTED_VALUE"""),"Swoon")</f>
        <v>Swoon</v>
      </c>
      <c r="Q52" s="18"/>
      <c r="R52" s="19" t="str">
        <f>IFERROR(__xludf.DUMMYFUNCTION("""COMPUTED_VALUE"""),"No")</f>
        <v>No</v>
      </c>
      <c r="S52" s="20" t="str">
        <f>IFERROR(__xludf.DUMMYFUNCTION("""COMPUTED_VALUE"""),"https://www.goodreads.com/book/show/218022571-power-play")</f>
        <v>https://www.goodreads.com/book/show/218022571-power-play</v>
      </c>
    </row>
    <row r="53">
      <c r="A53" s="16">
        <f>IFERROR(__xludf.DUMMYFUNCTION("""COMPUTED_VALUE"""),44944.95982993056)</f>
        <v>44944.95983</v>
      </c>
      <c r="B53" s="13" t="str">
        <f>IFERROR(__xludf.DUMMYFUNCTION("""COMPUTED_VALUE"""),"Add new entry")</f>
        <v>Add new entry</v>
      </c>
      <c r="C53" s="17" t="str">
        <f>IFERROR(__xludf.DUMMYFUNCTION("""COMPUTED_VALUE"""),"The Sea Ain't Mine Alone")</f>
        <v>The Sea Ain't Mine Alone</v>
      </c>
      <c r="D53" s="18" t="str">
        <f>IFERROR(__xludf.DUMMYFUNCTION("""COMPUTED_VALUE"""),"CL Beaumont")</f>
        <v>CL Beaumont</v>
      </c>
      <c r="E53" s="18" t="str">
        <f>IFERROR(__xludf.DUMMYFUNCTION("""COMPUTED_VALUE"""),"M/M")</f>
        <v>M/M</v>
      </c>
      <c r="F53" s="18" t="str">
        <f>IFERROR(__xludf.DUMMYFUNCTION("""COMPUTED_VALUE"""),"LGBTQIA+ &amp; GSM (Gender and Sexual Minorities), Neurodivergent (Autism, ADHD, dyspraxia, dyslexia, etc), Physical disability or illness, Mental disability or illness")</f>
        <v>LGBTQIA+ &amp; GSM (Gender and Sexual Minorities), Neurodivergent (Autism, ADHD, dyspraxia, dyslexia, etc), Physical disability or illness, Mental disability or illness</v>
      </c>
      <c r="G53" s="18" t="str">
        <f>IFERROR(__xludf.DUMMYFUNCTION("""COMPUTED_VALUE"""),"Two surfers: MC1 is a Vietnam vet with scars and PTSD; MC2 is touch starved, tortured, and neurodivergent. He can see the physics and read the waves without any formal education. ")</f>
        <v>Two surfers: MC1 is a Vietnam vet with scars and PTSD; MC2 is touch starved, tortured, and neurodivergent. He can see the physics and read the waves without any formal education. </v>
      </c>
      <c r="H53" s="18" t="str">
        <f>IFERROR(__xludf.DUMMYFUNCTION("""COMPUTED_VALUE"""),"Dual POV, Third person")</f>
        <v>Dual POV, Third person</v>
      </c>
      <c r="I53" s="18" t="str">
        <f>IFERROR(__xludf.DUMMYFUNCTION("""COMPUTED_VALUE"""),"Historical Romance, Sports Romance")</f>
        <v>Historical Romance, Sports Romance</v>
      </c>
      <c r="J53" s="18" t="str">
        <f>IFERROR(__xludf.DUMMYFUNCTION("""COMPUTED_VALUE"""),"Age Difference, Angst, Athlete, Forbidden or Taboo, Geek/Nerd/Misfit/Genius, Loner/Isolated, Slow Burn, Sweet MC- beta hero/kindhearted heroine/etc, Wounded Hero/Heroine &amp; War Heroes/Heroines, Surfing, 1976")</f>
        <v>Age Difference, Angst, Athlete, Forbidden or Taboo, Geek/Nerd/Misfit/Genius, Loner/Isolated, Slow Burn, Sweet MC- beta hero/kindhearted heroine/etc, Wounded Hero/Heroine &amp; War Heroes/Heroines, Surfing, 1976</v>
      </c>
      <c r="K53" s="18" t="str">
        <f>IFERROR(__xludf.DUMMYFUNCTION("""COMPUTED_VALUE"""),"North America")</f>
        <v>North America</v>
      </c>
      <c r="L53" s="18" t="str">
        <f>IFERROR(__xludf.DUMMYFUNCTION("""COMPUTED_VALUE"""),"Level 4- Heavy sexual content, mature audiences only")</f>
        <v>Level 4- Heavy sexual content, mature audiences only</v>
      </c>
      <c r="M53" s="18" t="str">
        <f>IFERROR(__xludf.DUMMYFUNCTION("""COMPUTED_VALUE"""),"Anal sex, Dirty Talk, Oral sex - fellatio")</f>
        <v>Anal sex, Dirty Talk, Oral sex - fellatio</v>
      </c>
      <c r="N53" s="18" t="str">
        <f>IFERROR(__xludf.DUMMYFUNCTION("""COMPUTED_VALUE"""),"Standalone (not part of a series)")</f>
        <v>Standalone (not part of a series)</v>
      </c>
      <c r="O53" s="18"/>
      <c r="P53" s="18" t="str">
        <f>IFERROR(__xludf.DUMMYFUNCTION("""COMPUTED_VALUE"""),"Swoon, Feel feels")</f>
        <v>Swoon, Feel feels</v>
      </c>
      <c r="Q53" s="18" t="str">
        <f>IFERROR(__xludf.DUMMYFUNCTION("""COMPUTED_VALUE"""),"PTSD, war, homophobia, childhood neglect, internalized homophobia")</f>
        <v>PTSD, war, homophobia, childhood neglect, internalized homophobia</v>
      </c>
      <c r="R53" s="19" t="str">
        <f>IFERROR(__xludf.DUMMYFUNCTION("""COMPUTED_VALUE"""),"No")</f>
        <v>No</v>
      </c>
      <c r="S53" s="20" t="str">
        <f>IFERROR(__xludf.DUMMYFUNCTION("""COMPUTED_VALUE"""),"https://www.goodreads.com/book/show/44788569-the-sea-ain-t-mine-alone?ac=1&amp;from_search=true&amp;qid=EuCtQJ0mqg&amp;rank=1")</f>
        <v>https://www.goodreads.com/book/show/44788569-the-sea-ain-t-mine-alone?ac=1&amp;from_search=true&amp;qid=EuCtQJ0mqg&amp;rank=1</v>
      </c>
    </row>
    <row r="54">
      <c r="A54" s="16">
        <f>IFERROR(__xludf.DUMMYFUNCTION("""COMPUTED_VALUE"""),45084.05622118056)</f>
        <v>45084.05622</v>
      </c>
      <c r="B54" s="13" t="str">
        <f>IFERROR(__xludf.DUMMYFUNCTION("""COMPUTED_VALUE"""),"Add new entry")</f>
        <v>Add new entry</v>
      </c>
      <c r="C54" s="17" t="str">
        <f>IFERROR(__xludf.DUMMYFUNCTION("""COMPUTED_VALUE"""),"Last Light")</f>
        <v>Last Light</v>
      </c>
      <c r="D54" s="18" t="str">
        <f>IFERROR(__xludf.DUMMYFUNCTION("""COMPUTED_VALUE"""),"Claire Kent")</f>
        <v>Claire Kent</v>
      </c>
      <c r="E54" s="18" t="str">
        <f>IFERROR(__xludf.DUMMYFUNCTION("""COMPUTED_VALUE"""),"M/F")</f>
        <v>M/F</v>
      </c>
      <c r="F54" s="18"/>
      <c r="G54" s="18" t="str">
        <f>IFERROR(__xludf.DUMMYFUNCTION("""COMPUTED_VALUE"""),"Age-gap post apocalyptic romance. Travis is a family friend who’s lost his wife&amp;kid while Layne is struggling to survive on her own. They team up to survive. Sexual tension OFF THE CHARTS")</f>
        <v>Age-gap post apocalyptic romance. Travis is a family friend who’s lost his wife&amp;kid while Layne is struggling to survive on her own. They team up to survive. Sexual tension OFF THE CHARTS</v>
      </c>
      <c r="H54" s="18" t="str">
        <f>IFERROR(__xludf.DUMMYFUNCTION("""COMPUTED_VALUE"""),"Single POV, First person")</f>
        <v>Single POV, First person</v>
      </c>
      <c r="I54" s="18" t="str">
        <f>IFERROR(__xludf.DUMMYFUNCTION("""COMPUTED_VALUE"""),"Adventure, Erotic Romance, New Adult (NA)")</f>
        <v>Adventure, Erotic Romance, New Adult (NA)</v>
      </c>
      <c r="J54" s="18" t="str">
        <f>IFERROR(__xludf.DUMMYFUNCTION("""COMPUTED_VALUE"""),"Age Difference, Dystopian, Only One Bed, Outdoorsy- forest/hiking/camping etc")</f>
        <v>Age Difference, Dystopian, Only One Bed, Outdoorsy- forest/hiking/camping etc</v>
      </c>
      <c r="K54" s="18" t="str">
        <f>IFERROR(__xludf.DUMMYFUNCTION("""COMPUTED_VALUE"""),"North America")</f>
        <v>North America</v>
      </c>
      <c r="L54" s="18" t="str">
        <f>IFERROR(__xludf.DUMMYFUNCTION("""COMPUTED_VALUE"""),"Level 4- Heavy sexual content, mature audiences only")</f>
        <v>Level 4- Heavy sexual content, mature audiences only</v>
      </c>
      <c r="M54" s="18"/>
      <c r="N54" s="18" t="str">
        <f>IFERROR(__xludf.DUMMYFUNCTION("""COMPUTED_VALUE"""),"Shared Universe")</f>
        <v>Shared Universe</v>
      </c>
      <c r="O54" s="18"/>
      <c r="P54" s="18" t="str">
        <f>IFERROR(__xludf.DUMMYFUNCTION("""COMPUTED_VALUE"""),"Swoon, Tingle, Laugh")</f>
        <v>Swoon, Tingle, Laugh</v>
      </c>
      <c r="Q54" s="18" t="str">
        <f>IFERROR(__xludf.DUMMYFUNCTION("""COMPUTED_VALUE"""),"Gun Violence, Scene where mc is about to be assaulted but saved ")</f>
        <v>Gun Violence, Scene where mc is about to be assaulted but saved </v>
      </c>
      <c r="R54" s="19" t="str">
        <f>IFERROR(__xludf.DUMMYFUNCTION("""COMPUTED_VALUE"""),"No")</f>
        <v>No</v>
      </c>
      <c r="S54" s="20" t="str">
        <f>IFERROR(__xludf.DUMMYFUNCTION("""COMPUTED_VALUE"""),"https://www.goodreads.com/book/show/59026826")</f>
        <v>https://www.goodreads.com/book/show/59026826</v>
      </c>
    </row>
    <row r="55">
      <c r="A55" s="16">
        <f>IFERROR(__xludf.DUMMYFUNCTION("""COMPUTED_VALUE"""),44780.65129474537)</f>
        <v>44780.65129</v>
      </c>
      <c r="B55" s="13" t="str">
        <f>IFERROR(__xludf.DUMMYFUNCTION("""COMPUTED_VALUE"""),"Add new entry")</f>
        <v>Add new entry</v>
      </c>
      <c r="C55" s="17" t="str">
        <f>IFERROR(__xludf.DUMMYFUNCTION("""COMPUTED_VALUE"""),"The Mogul and the Muscle")</f>
        <v>The Mogul and the Muscle</v>
      </c>
      <c r="D55" s="18" t="str">
        <f>IFERROR(__xludf.DUMMYFUNCTION("""COMPUTED_VALUE"""),"Claire Kingsley")</f>
        <v>Claire Kingsley</v>
      </c>
      <c r="E55" s="18" t="str">
        <f>IFERROR(__xludf.DUMMYFUNCTION("""COMPUTED_VALUE"""),"M/F")</f>
        <v>M/F</v>
      </c>
      <c r="F55" s="18"/>
      <c r="G55" s="18"/>
      <c r="H55" s="18"/>
      <c r="I55" s="18" t="str">
        <f>IFERROR(__xludf.DUMMYFUNCTION("""COMPUTED_VALUE"""),"Contemporary, Romantic Comedy")</f>
        <v>Contemporary, Romantic Comedy</v>
      </c>
      <c r="J55" s="18" t="str">
        <f>IFERROR(__xludf.DUMMYFUNCTION("""COMPUTED_VALUE"""),"Billionaires/Millionaires/Gazillionaires etc")</f>
        <v>Billionaires/Millionaires/Gazillionaires etc</v>
      </c>
      <c r="K55" s="18"/>
      <c r="L55" s="18" t="str">
        <f>IFERROR(__xludf.DUMMYFUNCTION("""COMPUTED_VALUE"""),"Level 3- Sexual content in a few chapters")</f>
        <v>Level 3- Sexual content in a few chapters</v>
      </c>
      <c r="M55" s="18"/>
      <c r="N55" s="18"/>
      <c r="O55" s="18" t="str">
        <f>IFERROR(__xludf.DUMMYFUNCTION("""COMPUTED_VALUE"""),"Bluewater Billionaires")</f>
        <v>Bluewater Billionaires</v>
      </c>
      <c r="P55" s="18" t="str">
        <f>IFERROR(__xludf.DUMMYFUNCTION("""COMPUTED_VALUE"""),"Swoon, Laugh")</f>
        <v>Swoon, Laugh</v>
      </c>
      <c r="Q55" s="18"/>
      <c r="R55" s="19" t="str">
        <f>IFERROR(__xludf.DUMMYFUNCTION("""COMPUTED_VALUE"""),"No")</f>
        <v>No</v>
      </c>
      <c r="S55" s="20" t="str">
        <f>IFERROR(__xludf.DUMMYFUNCTION("""COMPUTED_VALUE"""),"https://www.goodreads.com/series/271197-bluewater-billionaires")</f>
        <v>https://www.goodreads.com/series/271197-bluewater-billionaires</v>
      </c>
    </row>
    <row r="56">
      <c r="A56" s="16">
        <f>IFERROR(__xludf.DUMMYFUNCTION("""COMPUTED_VALUE"""),44780.65612137731)</f>
        <v>44780.65612</v>
      </c>
      <c r="B56" s="13" t="str">
        <f>IFERROR(__xludf.DUMMYFUNCTION("""COMPUTED_VALUE"""),"Add new entry")</f>
        <v>Add new entry</v>
      </c>
      <c r="C56" s="17" t="str">
        <f>IFERROR(__xludf.DUMMYFUNCTION("""COMPUTED_VALUE"""),"All Through The Night")</f>
        <v>All Through The Night</v>
      </c>
      <c r="D56" s="18" t="str">
        <f>IFERROR(__xludf.DUMMYFUNCTION("""COMPUTED_VALUE"""),"Connie Brockway")</f>
        <v>Connie Brockway</v>
      </c>
      <c r="E56" s="18" t="str">
        <f>IFERROR(__xludf.DUMMYFUNCTION("""COMPUTED_VALUE"""),"M/F")</f>
        <v>M/F</v>
      </c>
      <c r="F56" s="18"/>
      <c r="G56" s="18"/>
      <c r="H56" s="18" t="str">
        <f>IFERROR(__xludf.DUMMYFUNCTION("""COMPUTED_VALUE"""),"Third person")</f>
        <v>Third person</v>
      </c>
      <c r="I56" s="18" t="str">
        <f>IFERROR(__xludf.DUMMYFUNCTION("""COMPUTED_VALUE"""),"Historical Romance, Romantic Suspense")</f>
        <v>Historical Romance, Romantic Suspense</v>
      </c>
      <c r="J56" s="18" t="str">
        <f>IFERROR(__xludf.DUMMYFUNCTION("""COMPUTED_VALUE"""),"Enemies-to-lovers (or dislike-to-love), Mistaken or False Identity, Spy/Intrigue/Mystery")</f>
        <v>Enemies-to-lovers (or dislike-to-love), Mistaken or False Identity, Spy/Intrigue/Mystery</v>
      </c>
      <c r="K56" s="18"/>
      <c r="L56" s="18" t="str">
        <f>IFERROR(__xludf.DUMMYFUNCTION("""COMPUTED_VALUE"""),"Level 3- Sexual content in a few chapters")</f>
        <v>Level 3- Sexual content in a few chapters</v>
      </c>
      <c r="M56" s="18"/>
      <c r="N56" s="18"/>
      <c r="O56" s="18"/>
      <c r="P56" s="18" t="str">
        <f>IFERROR(__xludf.DUMMYFUNCTION("""COMPUTED_VALUE"""),"Swoon, Tingle, Feel feels, Smolder, Transported")</f>
        <v>Swoon, Tingle, Feel feels, Smolder, Transported</v>
      </c>
      <c r="Q56" s="18"/>
      <c r="R56" s="19" t="str">
        <f>IFERROR(__xludf.DUMMYFUNCTION("""COMPUTED_VALUE"""),"Yes")</f>
        <v>Yes</v>
      </c>
      <c r="S56" s="20" t="str">
        <f>IFERROR(__xludf.DUMMYFUNCTION("""COMPUTED_VALUE"""),"https://www.goodreads.com/book/show/169992.All_Through_the_Night")</f>
        <v>https://www.goodreads.com/book/show/169992.All_Through_the_Night</v>
      </c>
    </row>
    <row r="57">
      <c r="A57" s="16">
        <f>IFERROR(__xludf.DUMMYFUNCTION("""COMPUTED_VALUE"""),44780.662710983794)</f>
        <v>44780.66271</v>
      </c>
      <c r="B57" s="13" t="str">
        <f>IFERROR(__xludf.DUMMYFUNCTION("""COMPUTED_VALUE"""),"Add new entry")</f>
        <v>Add new entry</v>
      </c>
      <c r="C57" s="17" t="str">
        <f>IFERROR(__xludf.DUMMYFUNCTION("""COMPUTED_VALUE"""),"Soldier Boy")</f>
        <v>Soldier Boy</v>
      </c>
      <c r="D57" s="18" t="str">
        <f>IFERROR(__xludf.DUMMYFUNCTION("""COMPUTED_VALUE"""),"Donna Alam")</f>
        <v>Donna Alam</v>
      </c>
      <c r="E57" s="18" t="str">
        <f>IFERROR(__xludf.DUMMYFUNCTION("""COMPUTED_VALUE"""),"M/F")</f>
        <v>M/F</v>
      </c>
      <c r="F57" s="18"/>
      <c r="G57" s="18"/>
      <c r="H57" s="18" t="str">
        <f>IFERROR(__xludf.DUMMYFUNCTION("""COMPUTED_VALUE"""),"Dual POV, First person")</f>
        <v>Dual POV, First person</v>
      </c>
      <c r="I57" s="18" t="str">
        <f>IFERROR(__xludf.DUMMYFUNCTION("""COMPUTED_VALUE"""),"Contemporary, Erotic Romance, Military or Security")</f>
        <v>Contemporary, Erotic Romance, Military or Security</v>
      </c>
      <c r="J57" s="18" t="str">
        <f>IFERROR(__xludf.DUMMYFUNCTION("""COMPUTED_VALUE"""),"Age Difference, Forced Proximity, Friends-to-lovers, Insta-lust/Insta-love/Insta-coffee, Sweet MC- beta hero/kindhearted heroine/etc")</f>
        <v>Age Difference, Forced Proximity, Friends-to-lovers, Insta-lust/Insta-love/Insta-coffee, Sweet MC- beta hero/kindhearted heroine/etc</v>
      </c>
      <c r="K57" s="18"/>
      <c r="L57" s="18" t="str">
        <f>IFERROR(__xludf.DUMMYFUNCTION("""COMPUTED_VALUE"""),"Level 4- Heavy sexual content, mature audiences only")</f>
        <v>Level 4- Heavy sexual content, mature audiences only</v>
      </c>
      <c r="M57" s="18"/>
      <c r="N57" s="18" t="str">
        <f>IFERROR(__xludf.DUMMYFUNCTION("""COMPUTED_VALUE"""),"Standalone (not part of a series)")</f>
        <v>Standalone (not part of a series)</v>
      </c>
      <c r="O57" s="18"/>
      <c r="P57" s="18" t="str">
        <f>IFERROR(__xludf.DUMMYFUNCTION("""COMPUTED_VALUE"""),"Tingle, Smolder")</f>
        <v>Tingle, Smolder</v>
      </c>
      <c r="Q57" s="18"/>
      <c r="R57" s="19" t="str">
        <f>IFERROR(__xludf.DUMMYFUNCTION("""COMPUTED_VALUE"""),"No")</f>
        <v>No</v>
      </c>
      <c r="S57" s="20" t="str">
        <f>IFERROR(__xludf.DUMMYFUNCTION("""COMPUTED_VALUE"""),"https://www.goodreads.com/book/show/41432775-soldier-boy")</f>
        <v>https://www.goodreads.com/book/show/41432775-soldier-boy</v>
      </c>
    </row>
    <row r="58">
      <c r="A58" s="16">
        <f>IFERROR(__xludf.DUMMYFUNCTION("""COMPUTED_VALUE"""),44780.666705613425)</f>
        <v>44780.66671</v>
      </c>
      <c r="B58" s="13" t="str">
        <f>IFERROR(__xludf.DUMMYFUNCTION("""COMPUTED_VALUE"""),"Add new entry")</f>
        <v>Add new entry</v>
      </c>
      <c r="C58" s="17" t="str">
        <f>IFERROR(__xludf.DUMMYFUNCTION("""COMPUTED_VALUE"""),"Merry Christmas Mr. Miggles")</f>
        <v>Merry Christmas Mr. Miggles</v>
      </c>
      <c r="D58" s="18" t="str">
        <f>IFERROR(__xludf.DUMMYFUNCTION("""COMPUTED_VALUE"""),"Eli Easton")</f>
        <v>Eli Easton</v>
      </c>
      <c r="E58" s="18" t="str">
        <f>IFERROR(__xludf.DUMMYFUNCTION("""COMPUTED_VALUE"""),"M/M")</f>
        <v>M/M</v>
      </c>
      <c r="F58" s="18" t="str">
        <f>IFERROR(__xludf.DUMMYFUNCTION("""COMPUTED_VALUE"""),"LGBTQIA+ &amp; GSM (Gender and Sexual Minorities)")</f>
        <v>LGBTQIA+ &amp; GSM (Gender and Sexual Minorities)</v>
      </c>
      <c r="G58" s="18"/>
      <c r="H58" s="18" t="str">
        <f>IFERROR(__xludf.DUMMYFUNCTION("""COMPUTED_VALUE"""),"Single POV")</f>
        <v>Single POV</v>
      </c>
      <c r="I58" s="18" t="str">
        <f>IFERROR(__xludf.DUMMYFUNCTION("""COMPUTED_VALUE"""),"Contemporary")</f>
        <v>Contemporary</v>
      </c>
      <c r="J58" s="18" t="str">
        <f>IFERROR(__xludf.DUMMYFUNCTION("""COMPUTED_VALUE"""),"Age Difference, Coworkers or Colleagues, Friends-to-lovers, Holidays, Hurt/Comfort, Novella or Short Story, Small Town, Sweet MC- beta hero/kindhearted heroine/etc, Teacher/Writer/Librarian")</f>
        <v>Age Difference, Coworkers or Colleagues, Friends-to-lovers, Holidays, Hurt/Comfort, Novella or Short Story, Small Town, Sweet MC- beta hero/kindhearted heroine/etc, Teacher/Writer/Librarian</v>
      </c>
      <c r="K58" s="18"/>
      <c r="L58" s="18" t="str">
        <f>IFERROR(__xludf.DUMMYFUNCTION("""COMPUTED_VALUE"""),"Level 3- Sexual content in a few chapters")</f>
        <v>Level 3- Sexual content in a few chapters</v>
      </c>
      <c r="M58" s="18"/>
      <c r="N58" s="18" t="str">
        <f>IFERROR(__xludf.DUMMYFUNCTION("""COMPUTED_VALUE"""),"Standalone (not part of a series)")</f>
        <v>Standalone (not part of a series)</v>
      </c>
      <c r="O58" s="18"/>
      <c r="P58" s="18" t="str">
        <f>IFERROR(__xludf.DUMMYFUNCTION("""COMPUTED_VALUE"""),"Swoon, Rage, Inspired, Transported")</f>
        <v>Swoon, Rage, Inspired, Transported</v>
      </c>
      <c r="Q58" s="18" t="str">
        <f>IFERROR(__xludf.DUMMYFUNCTION("""COMPUTED_VALUE"""),"Allegations of child sexual assault (that did not happen) child abuse and neglect, past child death from vehicle accident. ")</f>
        <v>Allegations of child sexual assault (that did not happen) child abuse and neglect, past child death from vehicle accident. </v>
      </c>
      <c r="R58" s="19" t="str">
        <f>IFERROR(__xludf.DUMMYFUNCTION("""COMPUTED_VALUE"""),"No")</f>
        <v>No</v>
      </c>
      <c r="S58" s="20" t="str">
        <f>IFERROR(__xludf.DUMMYFUNCTION("""COMPUTED_VALUE"""),"https://www.goodreads.com/book/show/32920009-merry-christmas-mr-miggles")</f>
        <v>https://www.goodreads.com/book/show/32920009-merry-christmas-mr-miggles</v>
      </c>
    </row>
    <row r="59">
      <c r="A59" s="16">
        <f>IFERROR(__xludf.DUMMYFUNCTION("""COMPUTED_VALUE"""),44780.671116527774)</f>
        <v>44780.67112</v>
      </c>
      <c r="B59" s="13" t="str">
        <f>IFERROR(__xludf.DUMMYFUNCTION("""COMPUTED_VALUE"""),"Add new entry")</f>
        <v>Add new entry</v>
      </c>
      <c r="C59" s="17" t="str">
        <f>IFERROR(__xludf.DUMMYFUNCTION("""COMPUTED_VALUE"""),"Ever Yours, Annabelle")</f>
        <v>Ever Yours, Annabelle</v>
      </c>
      <c r="D59" s="18" t="str">
        <f>IFERROR(__xludf.DUMMYFUNCTION("""COMPUTED_VALUE"""),"Elisa Braden")</f>
        <v>Elisa Braden</v>
      </c>
      <c r="E59" s="18" t="str">
        <f>IFERROR(__xludf.DUMMYFUNCTION("""COMPUTED_VALUE"""),"M/F")</f>
        <v>M/F</v>
      </c>
      <c r="F59" s="18"/>
      <c r="G59" s="18"/>
      <c r="H59" s="18" t="str">
        <f>IFERROR(__xludf.DUMMYFUNCTION("""COMPUTED_VALUE"""),"Dual POV")</f>
        <v>Dual POV</v>
      </c>
      <c r="I59" s="18" t="str">
        <f>IFERROR(__xludf.DUMMYFUNCTION("""COMPUTED_VALUE"""),"Historical Romance")</f>
        <v>Historical Romance</v>
      </c>
      <c r="J59" s="18" t="str">
        <f>IFERROR(__xludf.DUMMYFUNCTION("""COMPUTED_VALUE"""),"Age Difference, Childhood Friends, Pining/Yearning, Regency, Second Chance, Sibling's Best Friend, Spy/Intrigue/Mystery, Matchmaking, White-Fanged")</f>
        <v>Age Difference, Childhood Friends, Pining/Yearning, Regency, Second Chance, Sibling's Best Friend, Spy/Intrigue/Mystery, Matchmaking, White-Fanged</v>
      </c>
      <c r="K59" s="18"/>
      <c r="L59" s="18" t="str">
        <f>IFERROR(__xludf.DUMMYFUNCTION("""COMPUTED_VALUE"""),"Level 3- Sexual content in a few chapters")</f>
        <v>Level 3- Sexual content in a few chapters</v>
      </c>
      <c r="M59" s="18"/>
      <c r="N59" s="18"/>
      <c r="O59" s="18" t="str">
        <f>IFERROR(__xludf.DUMMYFUNCTION("""COMPUTED_VALUE"""),"Rescued From Ruin #0.5")</f>
        <v>Rescued From Ruin #0.5</v>
      </c>
      <c r="P59" s="18" t="str">
        <f>IFERROR(__xludf.DUMMYFUNCTION("""COMPUTED_VALUE"""),"Swoon, Rage, Inspired")</f>
        <v>Swoon, Rage, Inspired</v>
      </c>
      <c r="Q59" s="18" t="str">
        <f>IFERROR(__xludf.DUMMYFUNCTION("""COMPUTED_VALUE"""),"0ff-page murder; graphic injury; accident")</f>
        <v>0ff-page murder; graphic injury; accident</v>
      </c>
      <c r="R59" s="19" t="str">
        <f>IFERROR(__xludf.DUMMYFUNCTION("""COMPUTED_VALUE"""),"No")</f>
        <v>No</v>
      </c>
      <c r="S59" s="20" t="str">
        <f>IFERROR(__xludf.DUMMYFUNCTION("""COMPUTED_VALUE"""),"https://www.goodreads.com/book/show/45303273-ever-yours-annabelle")</f>
        <v>https://www.goodreads.com/book/show/45303273-ever-yours-annabelle</v>
      </c>
    </row>
    <row r="60">
      <c r="A60" s="16">
        <f>IFERROR(__xludf.DUMMYFUNCTION("""COMPUTED_VALUE"""),44780.67281082176)</f>
        <v>44780.67281</v>
      </c>
      <c r="B60" s="13" t="str">
        <f>IFERROR(__xludf.DUMMYFUNCTION("""COMPUTED_VALUE"""),"Add new entry")</f>
        <v>Add new entry</v>
      </c>
      <c r="C60" s="17" t="str">
        <f>IFERROR(__xludf.DUMMYFUNCTION("""COMPUTED_VALUE"""),"A Deal With The Elf King")</f>
        <v>A Deal With The Elf King</v>
      </c>
      <c r="D60" s="18" t="str">
        <f>IFERROR(__xludf.DUMMYFUNCTION("""COMPUTED_VALUE"""),"Elise Kova")</f>
        <v>Elise Kova</v>
      </c>
      <c r="E60" s="18" t="str">
        <f>IFERROR(__xludf.DUMMYFUNCTION("""COMPUTED_VALUE"""),"M/F")</f>
        <v>M/F</v>
      </c>
      <c r="F60" s="18"/>
      <c r="G60" s="18"/>
      <c r="H60" s="18" t="str">
        <f>IFERROR(__xludf.DUMMYFUNCTION("""COMPUTED_VALUE"""),"Dual POV")</f>
        <v>Dual POV</v>
      </c>
      <c r="I60" s="18" t="str">
        <f>IFERROR(__xludf.DUMMYFUNCTION("""COMPUTED_VALUE"""),"Fantasy &amp; Gothic")</f>
        <v>Fantasy &amp; Gothic</v>
      </c>
      <c r="J60" s="18" t="str">
        <f>IFERROR(__xludf.DUMMYFUNCTION("""COMPUTED_VALUE"""),"Creatures or Monsters- Dragon/Orc/Fae/etc, Marriage of Convenience (or arranged marriage), Opposites Attract, Slow Burn, Witch/Wizard/Warlock etc")</f>
        <v>Creatures or Monsters- Dragon/Orc/Fae/etc, Marriage of Convenience (or arranged marriage), Opposites Attract, Slow Burn, Witch/Wizard/Warlock etc</v>
      </c>
      <c r="K60" s="18"/>
      <c r="L60" s="18" t="str">
        <f>IFERROR(__xludf.DUMMYFUNCTION("""COMPUTED_VALUE"""),"Level 3- Sexual content in a few chapters")</f>
        <v>Level 3- Sexual content in a few chapters</v>
      </c>
      <c r="M60" s="18"/>
      <c r="N60" s="18"/>
      <c r="O60" s="18" t="str">
        <f>IFERROR(__xludf.DUMMYFUNCTION("""COMPUTED_VALUE"""),"Married to Magic #1")</f>
        <v>Married to Magic #1</v>
      </c>
      <c r="P60" s="18"/>
      <c r="Q60" s="18"/>
      <c r="R60" s="19" t="str">
        <f>IFERROR(__xludf.DUMMYFUNCTION("""COMPUTED_VALUE"""),"No")</f>
        <v>No</v>
      </c>
      <c r="S60" s="20" t="str">
        <f>IFERROR(__xludf.DUMMYFUNCTION("""COMPUTED_VALUE"""),"https://www.goodreads.com/book/show/55626358-a-deal-with-the-elf-king")</f>
        <v>https://www.goodreads.com/book/show/55626358-a-deal-with-the-elf-king</v>
      </c>
    </row>
    <row r="61">
      <c r="A61" s="16">
        <f>IFERROR(__xludf.DUMMYFUNCTION("""COMPUTED_VALUE"""),44780.67496133102)</f>
        <v>44780.67496</v>
      </c>
      <c r="B61" s="13" t="str">
        <f>IFERROR(__xludf.DUMMYFUNCTION("""COMPUTED_VALUE"""),"Add new entry")</f>
        <v>Add new entry</v>
      </c>
      <c r="C61" s="17" t="str">
        <f>IFERROR(__xludf.DUMMYFUNCTION("""COMPUTED_VALUE"""),"Within Her Words")</f>
        <v>Within Her Words</v>
      </c>
      <c r="D61" s="18" t="str">
        <f>IFERROR(__xludf.DUMMYFUNCTION("""COMPUTED_VALUE"""),"Elizabeth Brady")</f>
        <v>Elizabeth Brady</v>
      </c>
      <c r="E61" s="18" t="str">
        <f>IFERROR(__xludf.DUMMYFUNCTION("""COMPUTED_VALUE"""),"M/F")</f>
        <v>M/F</v>
      </c>
      <c r="F61" s="18"/>
      <c r="G61" s="18"/>
      <c r="H61" s="18" t="str">
        <f>IFERROR(__xludf.DUMMYFUNCTION("""COMPUTED_VALUE"""),"Dual POV, First person")</f>
        <v>Dual POV, First person</v>
      </c>
      <c r="I61" s="18" t="str">
        <f>IFERROR(__xludf.DUMMYFUNCTION("""COMPUTED_VALUE"""),"Historical Romance, Romantic Comedy")</f>
        <v>Historical Romance, Romantic Comedy</v>
      </c>
      <c r="J61" s="18" t="str">
        <f>IFERROR(__xludf.DUMMYFUNCTION("""COMPUTED_VALUE"""),"Friends-to-lovers, Geek/Nerd/Misfit/Genius, Holidays, Novella or Short Story, Regency, Sweet MC- beta hero/kindhearted heroine/etc")</f>
        <v>Friends-to-lovers, Geek/Nerd/Misfit/Genius, Holidays, Novella or Short Story, Regency, Sweet MC- beta hero/kindhearted heroine/etc</v>
      </c>
      <c r="K61" s="18"/>
      <c r="L61" s="18" t="str">
        <f>IFERROR(__xludf.DUMMYFUNCTION("""COMPUTED_VALUE"""),"Level 1- Kisses only, no mention of sex")</f>
        <v>Level 1- Kisses only, no mention of sex</v>
      </c>
      <c r="M61" s="18"/>
      <c r="N61" s="18"/>
      <c r="O61" s="18" t="str">
        <f>IFERROR(__xludf.DUMMYFUNCTION("""COMPUTED_VALUE"""),"Blakemoor Series #1")</f>
        <v>Blakemoor Series #1</v>
      </c>
      <c r="P61" s="18" t="str">
        <f>IFERROR(__xludf.DUMMYFUNCTION("""COMPUTED_VALUE"""),"Laugh, Dream")</f>
        <v>Laugh, Dream</v>
      </c>
      <c r="Q61" s="18"/>
      <c r="R61" s="19" t="str">
        <f>IFERROR(__xludf.DUMMYFUNCTION("""COMPUTED_VALUE"""),"No")</f>
        <v>No</v>
      </c>
      <c r="S61" s="20" t="str">
        <f>IFERROR(__xludf.DUMMYFUNCTION("""COMPUTED_VALUE"""),"https://www.goodreads.com/book/show/27865167-within-her-words")</f>
        <v>https://www.goodreads.com/book/show/27865167-within-her-words</v>
      </c>
    </row>
    <row r="62">
      <c r="A62" s="16">
        <f>IFERROR(__xludf.DUMMYFUNCTION("""COMPUTED_VALUE"""),44813.22028569444)</f>
        <v>44813.22029</v>
      </c>
      <c r="B62" s="13" t="str">
        <f>IFERROR(__xludf.DUMMYFUNCTION("""COMPUTED_VALUE"""),"Add new entry")</f>
        <v>Add new entry</v>
      </c>
      <c r="C62" s="17" t="str">
        <f>IFERROR(__xludf.DUMMYFUNCTION("""COMPUTED_VALUE"""),"Devil You Know")</f>
        <v>Devil You Know</v>
      </c>
      <c r="D62" s="18" t="str">
        <f>IFERROR(__xludf.DUMMYFUNCTION("""COMPUTED_VALUE"""),"Elizabeth O'Roark")</f>
        <v>Elizabeth O'Roark</v>
      </c>
      <c r="E62" s="18" t="str">
        <f>IFERROR(__xludf.DUMMYFUNCTION("""COMPUTED_VALUE"""),"M/F")</f>
        <v>M/F</v>
      </c>
      <c r="F62" s="18"/>
      <c r="G62" s="18"/>
      <c r="H62" s="18" t="str">
        <f>IFERROR(__xludf.DUMMYFUNCTION("""COMPUTED_VALUE"""),"Single POV")</f>
        <v>Single POV</v>
      </c>
      <c r="I62" s="18" t="str">
        <f>IFERROR(__xludf.DUMMYFUNCTION("""COMPUTED_VALUE"""),"Contemporary, Erotic Romance")</f>
        <v>Contemporary, Erotic Romance</v>
      </c>
      <c r="J62" s="18" t="str">
        <f>IFERROR(__xludf.DUMMYFUNCTION("""COMPUTED_VALUE"""),"Coworkers or Colleagues, Enemies-to-lovers (or dislike-to-love), Loner/Isolated, Off Limits (ie; Brother's Best Friend)")</f>
        <v>Coworkers or Colleagues, Enemies-to-lovers (or dislike-to-love), Loner/Isolated, Off Limits (ie; Brother's Best Friend)</v>
      </c>
      <c r="K62" s="18" t="str">
        <f>IFERROR(__xludf.DUMMYFUNCTION("""COMPUTED_VALUE"""),"North America")</f>
        <v>North America</v>
      </c>
      <c r="L62" s="18" t="str">
        <f>IFERROR(__xludf.DUMMYFUNCTION("""COMPUTED_VALUE"""),"Level 4- Heavy sexual content, mature audiences only")</f>
        <v>Level 4- Heavy sexual content, mature audiences only</v>
      </c>
      <c r="M62" s="18"/>
      <c r="N62" s="18" t="str">
        <f>IFERROR(__xludf.DUMMYFUNCTION("""COMPUTED_VALUE"""),"Standalone (not part of a series)")</f>
        <v>Standalone (not part of a series)</v>
      </c>
      <c r="O62" s="18"/>
      <c r="P62" s="18" t="str">
        <f>IFERROR(__xludf.DUMMYFUNCTION("""COMPUTED_VALUE"""),"Swoon, Tingle, Feel feels, Dream, Smolder")</f>
        <v>Swoon, Tingle, Feel feels, Dream, Smolder</v>
      </c>
      <c r="Q62" s="18"/>
      <c r="R62" s="19" t="str">
        <f>IFERROR(__xludf.DUMMYFUNCTION("""COMPUTED_VALUE"""),"No")</f>
        <v>No</v>
      </c>
      <c r="S62" s="20" t="str">
        <f>IFERROR(__xludf.DUMMYFUNCTION("""COMPUTED_VALUE"""),"https://www.goodreads.com/book/show/60062931-the-devil-you-know")</f>
        <v>https://www.goodreads.com/book/show/60062931-the-devil-you-know</v>
      </c>
    </row>
    <row r="63">
      <c r="A63" s="16">
        <f>IFERROR(__xludf.DUMMYFUNCTION("""COMPUTED_VALUE"""),44780.67699251157)</f>
        <v>44780.67699</v>
      </c>
      <c r="B63" s="13" t="str">
        <f>IFERROR(__xludf.DUMMYFUNCTION("""COMPUTED_VALUE"""),"Add new entry")</f>
        <v>Add new entry</v>
      </c>
      <c r="C63" s="17" t="str">
        <f>IFERROR(__xludf.DUMMYFUNCTION("""COMPUTED_VALUE"""),"A King So Cold")</f>
        <v>A King So Cold</v>
      </c>
      <c r="D63" s="18" t="str">
        <f>IFERROR(__xludf.DUMMYFUNCTION("""COMPUTED_VALUE"""),"Ella Fields")</f>
        <v>Ella Fields</v>
      </c>
      <c r="E63" s="18" t="str">
        <f>IFERROR(__xludf.DUMMYFUNCTION("""COMPUTED_VALUE"""),"M/F")</f>
        <v>M/F</v>
      </c>
      <c r="F63" s="18"/>
      <c r="G63" s="18"/>
      <c r="H63" s="18" t="str">
        <f>IFERROR(__xludf.DUMMYFUNCTION("""COMPUTED_VALUE"""),"Single POV")</f>
        <v>Single POV</v>
      </c>
      <c r="I63" s="18" t="str">
        <f>IFERROR(__xludf.DUMMYFUNCTION("""COMPUTED_VALUE"""),"Fantasy &amp; Gothic, Romantic Suspense")</f>
        <v>Fantasy &amp; Gothic, Romantic Suspense</v>
      </c>
      <c r="J63" s="18" t="str">
        <f>IFERROR(__xludf.DUMMYFUNCTION("""COMPUTED_VALUE"""),"Amnesia, Angst, Marriage of Convenience (or arranged marriage), Married Couple or Troubled Marriage, Regency, Royalty, Witch/Wizard/Warlock etc")</f>
        <v>Amnesia, Angst, Marriage of Convenience (or arranged marriage), Married Couple or Troubled Marriage, Regency, Royalty, Witch/Wizard/Warlock etc</v>
      </c>
      <c r="K63" s="18"/>
      <c r="L63" s="18" t="str">
        <f>IFERROR(__xludf.DUMMYFUNCTION("""COMPUTED_VALUE"""),"Level 3- Sexual content in a few chapters")</f>
        <v>Level 3- Sexual content in a few chapters</v>
      </c>
      <c r="M63" s="18"/>
      <c r="N63" s="18"/>
      <c r="O63" s="18" t="str">
        <f>IFERROR(__xludf.DUMMYFUNCTION("""COMPUTED_VALUE"""),"Royals #1")</f>
        <v>Royals #1</v>
      </c>
      <c r="P63" s="18" t="str">
        <f>IFERROR(__xludf.DUMMYFUNCTION("""COMPUTED_VALUE"""),"Laugh, Feel feels")</f>
        <v>Laugh, Feel feels</v>
      </c>
      <c r="Q63" s="18"/>
      <c r="R63" s="19" t="str">
        <f>IFERROR(__xludf.DUMMYFUNCTION("""COMPUTED_VALUE"""),"No")</f>
        <v>No</v>
      </c>
      <c r="S63" s="20" t="str">
        <f>IFERROR(__xludf.DUMMYFUNCTION("""COMPUTED_VALUE"""),"https://www.goodreads.com/book/show/51157394-a-king-so-cold")</f>
        <v>https://www.goodreads.com/book/show/51157394-a-king-so-cold</v>
      </c>
    </row>
    <row r="64">
      <c r="A64" s="16">
        <f>IFERROR(__xludf.DUMMYFUNCTION("""COMPUTED_VALUE"""),44780.68076862268)</f>
        <v>44780.68077</v>
      </c>
      <c r="B64" s="13" t="str">
        <f>IFERROR(__xludf.DUMMYFUNCTION("""COMPUTED_VALUE"""),"Add new entry")</f>
        <v>Add new entry</v>
      </c>
      <c r="C64" s="17" t="str">
        <f>IFERROR(__xludf.DUMMYFUNCTION("""COMPUTED_VALUE"""),"The Hardest Fall")</f>
        <v>The Hardest Fall</v>
      </c>
      <c r="D64" s="18" t="str">
        <f>IFERROR(__xludf.DUMMYFUNCTION("""COMPUTED_VALUE"""),"Ella Maise")</f>
        <v>Ella Maise</v>
      </c>
      <c r="E64" s="18" t="str">
        <f>IFERROR(__xludf.DUMMYFUNCTION("""COMPUTED_VALUE"""),"M/F")</f>
        <v>M/F</v>
      </c>
      <c r="F64" s="18"/>
      <c r="G64" s="18"/>
      <c r="H64" s="18" t="str">
        <f>IFERROR(__xludf.DUMMYFUNCTION("""COMPUTED_VALUE"""),"Dual POV, First person")</f>
        <v>Dual POV, First person</v>
      </c>
      <c r="I64" s="18" t="str">
        <f>IFERROR(__xludf.DUMMYFUNCTION("""COMPUTED_VALUE"""),"Sports Romance, New Adult (NA)")</f>
        <v>Sports Romance, New Adult (NA)</v>
      </c>
      <c r="J64" s="18" t="str">
        <f>IFERROR(__xludf.DUMMYFUNCTION("""COMPUTED_VALUE"""),"Forced Proximity, Friends-to-lovers, Neighbors-to-lovers")</f>
        <v>Forced Proximity, Friends-to-lovers, Neighbors-to-lovers</v>
      </c>
      <c r="K64" s="18"/>
      <c r="L64" s="18" t="str">
        <f>IFERROR(__xludf.DUMMYFUNCTION("""COMPUTED_VALUE"""),"Level 3- Sexual content in a few chapters")</f>
        <v>Level 3- Sexual content in a few chapters</v>
      </c>
      <c r="M64" s="18"/>
      <c r="N64" s="18" t="str">
        <f>IFERROR(__xludf.DUMMYFUNCTION("""COMPUTED_VALUE"""),"Standalone (not part of a series)")</f>
        <v>Standalone (not part of a series)</v>
      </c>
      <c r="O64" s="18"/>
      <c r="P64" s="18"/>
      <c r="Q64" s="18"/>
      <c r="R64" s="19" t="str">
        <f>IFERROR(__xludf.DUMMYFUNCTION("""COMPUTED_VALUE"""),"No")</f>
        <v>No</v>
      </c>
      <c r="S64" s="20" t="str">
        <f>IFERROR(__xludf.DUMMYFUNCTION("""COMPUTED_VALUE"""),"https://www.goodreads.com/book/show/39880512-the-hardest-fall")</f>
        <v>https://www.goodreads.com/book/show/39880512-the-hardest-fall</v>
      </c>
    </row>
    <row r="65">
      <c r="A65" s="16">
        <f>IFERROR(__xludf.DUMMYFUNCTION("""COMPUTED_VALUE"""),44780.68265951389)</f>
        <v>44780.68266</v>
      </c>
      <c r="B65" s="13" t="str">
        <f>IFERROR(__xludf.DUMMYFUNCTION("""COMPUTED_VALUE"""),"Add new entry")</f>
        <v>Add new entry</v>
      </c>
      <c r="C65" s="17" t="str">
        <f>IFERROR(__xludf.DUMMYFUNCTION("""COMPUTED_VALUE"""),"Marriage For One")</f>
        <v>Marriage For One</v>
      </c>
      <c r="D65" s="18" t="str">
        <f>IFERROR(__xludf.DUMMYFUNCTION("""COMPUTED_VALUE"""),"Ella Maise")</f>
        <v>Ella Maise</v>
      </c>
      <c r="E65" s="18" t="str">
        <f>IFERROR(__xludf.DUMMYFUNCTION("""COMPUTED_VALUE"""),"M/F")</f>
        <v>M/F</v>
      </c>
      <c r="F65" s="18"/>
      <c r="G65" s="18"/>
      <c r="H65" s="18" t="str">
        <f>IFERROR(__xludf.DUMMYFUNCTION("""COMPUTED_VALUE"""),"Dual POV")</f>
        <v>Dual POV</v>
      </c>
      <c r="I65" s="18" t="str">
        <f>IFERROR(__xludf.DUMMYFUNCTION("""COMPUTED_VALUE"""),"Contemporary")</f>
        <v>Contemporary</v>
      </c>
      <c r="J65" s="18" t="str">
        <f>IFERROR(__xludf.DUMMYFUNCTION("""COMPUTED_VALUE"""),"Fake Relationship, Foodies- Chef/Baker/Bartender etc, Marriage of Convenience (or arranged marriage), Slow Burn")</f>
        <v>Fake Relationship, Foodies- Chef/Baker/Bartender etc, Marriage of Convenience (or arranged marriage), Slow Burn</v>
      </c>
      <c r="K65" s="18"/>
      <c r="L65" s="18" t="str">
        <f>IFERROR(__xludf.DUMMYFUNCTION("""COMPUTED_VALUE"""),"Level 3- Sexual content in a few chapters")</f>
        <v>Level 3- Sexual content in a few chapters</v>
      </c>
      <c r="M65" s="18"/>
      <c r="N65" s="18" t="str">
        <f>IFERROR(__xludf.DUMMYFUNCTION("""COMPUTED_VALUE"""),"Standalone (not part of a series)")</f>
        <v>Standalone (not part of a series)</v>
      </c>
      <c r="O65" s="18"/>
      <c r="P65" s="18" t="str">
        <f>IFERROR(__xludf.DUMMYFUNCTION("""COMPUTED_VALUE"""),"Swoon, Feel feels")</f>
        <v>Swoon, Feel feels</v>
      </c>
      <c r="Q65" s="18"/>
      <c r="R65" s="19" t="str">
        <f>IFERROR(__xludf.DUMMYFUNCTION("""COMPUTED_VALUE"""),"No")</f>
        <v>No</v>
      </c>
      <c r="S65" s="20" t="str">
        <f>IFERROR(__xludf.DUMMYFUNCTION("""COMPUTED_VALUE"""),"https://www.goodreads.com/book/show/45694898-marriage-for-one")</f>
        <v>https://www.goodreads.com/book/show/45694898-marriage-for-one</v>
      </c>
    </row>
    <row r="66">
      <c r="A66" s="16">
        <f>IFERROR(__xludf.DUMMYFUNCTION("""COMPUTED_VALUE"""),44780.685410300925)</f>
        <v>44780.68541</v>
      </c>
      <c r="B66" s="13" t="str">
        <f>IFERROR(__xludf.DUMMYFUNCTION("""COMPUTED_VALUE"""),"Add new entry")</f>
        <v>Add new entry</v>
      </c>
      <c r="C66" s="17" t="str">
        <f>IFERROR(__xludf.DUMMYFUNCTION("""COMPUTED_VALUE"""),"Artistic License")</f>
        <v>Artistic License</v>
      </c>
      <c r="D66" s="18" t="str">
        <f>IFERROR(__xludf.DUMMYFUNCTION("""COMPUTED_VALUE"""),"Elle Pierson")</f>
        <v>Elle Pierson</v>
      </c>
      <c r="E66" s="18" t="str">
        <f>IFERROR(__xludf.DUMMYFUNCTION("""COMPUTED_VALUE"""),"M/F")</f>
        <v>M/F</v>
      </c>
      <c r="F66" s="18"/>
      <c r="G66" s="18"/>
      <c r="H66" s="18" t="str">
        <f>IFERROR(__xludf.DUMMYFUNCTION("""COMPUTED_VALUE"""),"Dual POV, Third person")</f>
        <v>Dual POV, Third person</v>
      </c>
      <c r="I66" s="18" t="str">
        <f>IFERROR(__xludf.DUMMYFUNCTION("""COMPUTED_VALUE"""),"Contemporary")</f>
        <v>Contemporary</v>
      </c>
      <c r="J66" s="18" t="str">
        <f>IFERROR(__xludf.DUMMYFUNCTION("""COMPUTED_VALUE"""),"Art Themed- Music/Dance/Sculpture, Bodyguards &amp; Security, Friends-to-lovers, Opposites Attract")</f>
        <v>Art Themed- Music/Dance/Sculpture, Bodyguards &amp; Security, Friends-to-lovers, Opposites Attract</v>
      </c>
      <c r="K66" s="18"/>
      <c r="L66" s="18" t="str">
        <f>IFERROR(__xludf.DUMMYFUNCTION("""COMPUTED_VALUE"""),"Level 3- Sexual content in a few chapters")</f>
        <v>Level 3- Sexual content in a few chapters</v>
      </c>
      <c r="M66" s="18"/>
      <c r="N66" s="18" t="str">
        <f>IFERROR(__xludf.DUMMYFUNCTION("""COMPUTED_VALUE"""),"Standalone (not part of a series)")</f>
        <v>Standalone (not part of a series)</v>
      </c>
      <c r="O66" s="18"/>
      <c r="P66" s="18" t="str">
        <f>IFERROR(__xludf.DUMMYFUNCTION("""COMPUTED_VALUE"""),"Laugh, Feel feels")</f>
        <v>Laugh, Feel feels</v>
      </c>
      <c r="Q66" s="18" t="str">
        <f>IFERROR(__xludf.DUMMYFUNCTION("""COMPUTED_VALUE"""),"assault of FMC (not by MMC)")</f>
        <v>assault of FMC (not by MMC)</v>
      </c>
      <c r="R66" s="19" t="str">
        <f>IFERROR(__xludf.DUMMYFUNCTION("""COMPUTED_VALUE"""),"No")</f>
        <v>No</v>
      </c>
      <c r="S66" s="20" t="str">
        <f>IFERROR(__xludf.DUMMYFUNCTION("""COMPUTED_VALUE"""),"https://www.goodreads.com/book/show/20979029-artistic-license")</f>
        <v>https://www.goodreads.com/book/show/20979029-artistic-license</v>
      </c>
    </row>
    <row r="67">
      <c r="A67" s="16">
        <f>IFERROR(__xludf.DUMMYFUNCTION("""COMPUTED_VALUE"""),45091.017573391204)</f>
        <v>45091.01757</v>
      </c>
      <c r="B67" s="13" t="str">
        <f>IFERROR(__xludf.DUMMYFUNCTION("""COMPUTED_VALUE"""),"Add new entry")</f>
        <v>Add new entry</v>
      </c>
      <c r="C67" s="17" t="str">
        <f>IFERROR(__xludf.DUMMYFUNCTION("""COMPUTED_VALUE"""),"Flawless")</f>
        <v>Flawless</v>
      </c>
      <c r="D67" s="18" t="str">
        <f>IFERROR(__xludf.DUMMYFUNCTION("""COMPUTED_VALUE"""),"Elsie Silver")</f>
        <v>Elsie Silver</v>
      </c>
      <c r="E67" s="18" t="str">
        <f>IFERROR(__xludf.DUMMYFUNCTION("""COMPUTED_VALUE"""),"M/F")</f>
        <v>M/F</v>
      </c>
      <c r="F67" s="18"/>
      <c r="G67" s="18"/>
      <c r="H67" s="18" t="str">
        <f>IFERROR(__xludf.DUMMYFUNCTION("""COMPUTED_VALUE"""),"Dual POV")</f>
        <v>Dual POV</v>
      </c>
      <c r="I67" s="18" t="str">
        <f>IFERROR(__xludf.DUMMYFUNCTION("""COMPUTED_VALUE"""),"Contemporary")</f>
        <v>Contemporary</v>
      </c>
      <c r="J67" s="18" t="str">
        <f>IFERROR(__xludf.DUMMYFUNCTION("""COMPUTED_VALUE"""),"Enemies-to-lovers (or dislike-to-love)")</f>
        <v>Enemies-to-lovers (or dislike-to-love)</v>
      </c>
      <c r="K67" s="18" t="str">
        <f>IFERROR(__xludf.DUMMYFUNCTION("""COMPUTED_VALUE"""),"North America")</f>
        <v>North America</v>
      </c>
      <c r="L67" s="18" t="str">
        <f>IFERROR(__xludf.DUMMYFUNCTION("""COMPUTED_VALUE"""),"Level 3- Sexual content in a few chapters")</f>
        <v>Level 3- Sexual content in a few chapters</v>
      </c>
      <c r="M67" s="18"/>
      <c r="N67" s="18" t="str">
        <f>IFERROR(__xludf.DUMMYFUNCTION("""COMPUTED_VALUE"""),"Series- can be read as standalones")</f>
        <v>Series- can be read as standalones</v>
      </c>
      <c r="O67" s="18" t="str">
        <f>IFERROR(__xludf.DUMMYFUNCTION("""COMPUTED_VALUE"""),"Chestnut Springs #1")</f>
        <v>Chestnut Springs #1</v>
      </c>
      <c r="P67" s="18"/>
      <c r="Q67" s="18"/>
      <c r="R67" s="19" t="str">
        <f>IFERROR(__xludf.DUMMYFUNCTION("""COMPUTED_VALUE"""),"No")</f>
        <v>No</v>
      </c>
      <c r="S67" s="20" t="str">
        <f>IFERROR(__xludf.DUMMYFUNCTION("""COMPUTED_VALUE"""),"https://www.goodreads.com/book/show/60755618-flawless")</f>
        <v>https://www.goodreads.com/book/show/60755618-flawless</v>
      </c>
    </row>
    <row r="68">
      <c r="A68" s="16">
        <f>IFERROR(__xludf.DUMMYFUNCTION("""COMPUTED_VALUE"""),44780.687619375)</f>
        <v>44780.68762</v>
      </c>
      <c r="B68" s="13" t="str">
        <f>IFERROR(__xludf.DUMMYFUNCTION("""COMPUTED_VALUE"""),"Add new entry")</f>
        <v>Add new entry</v>
      </c>
      <c r="C68" s="17" t="str">
        <f>IFERROR(__xludf.DUMMYFUNCTION("""COMPUTED_VALUE"""),"An Earl in Wolf's Clothing")</f>
        <v>An Earl in Wolf's Clothing</v>
      </c>
      <c r="D68" s="18" t="str">
        <f>IFERROR(__xludf.DUMMYFUNCTION("""COMPUTED_VALUE"""),"Emily Windsor")</f>
        <v>Emily Windsor</v>
      </c>
      <c r="E68" s="18" t="str">
        <f>IFERROR(__xludf.DUMMYFUNCTION("""COMPUTED_VALUE"""),"M/F")</f>
        <v>M/F</v>
      </c>
      <c r="F68" s="18"/>
      <c r="G68" s="18"/>
      <c r="H68" s="18" t="str">
        <f>IFERROR(__xludf.DUMMYFUNCTION("""COMPUTED_VALUE"""),"Dual POV")</f>
        <v>Dual POV</v>
      </c>
      <c r="I68" s="18" t="str">
        <f>IFERROR(__xludf.DUMMYFUNCTION("""COMPUTED_VALUE"""),"Historical Romance")</f>
        <v>Historical Romance</v>
      </c>
      <c r="J68" s="18" t="str">
        <f>IFERROR(__xludf.DUMMYFUNCTION("""COMPUTED_VALUE"""),"Regency")</f>
        <v>Regency</v>
      </c>
      <c r="K68" s="18"/>
      <c r="L68" s="18" t="str">
        <f>IFERROR(__xludf.DUMMYFUNCTION("""COMPUTED_VALUE"""),"Level 2- Kisses and foreplay, everything else closed door")</f>
        <v>Level 2- Kisses and foreplay, everything else closed door</v>
      </c>
      <c r="M68" s="18"/>
      <c r="N68" s="18"/>
      <c r="O68" s="18" t="str">
        <f>IFERROR(__xludf.DUMMYFUNCTION("""COMPUTED_VALUE"""),"Rule of the Rogue #1")</f>
        <v>Rule of the Rogue #1</v>
      </c>
      <c r="P68" s="18" t="str">
        <f>IFERROR(__xludf.DUMMYFUNCTION("""COMPUTED_VALUE"""),"Swoon, Laugh, Transported")</f>
        <v>Swoon, Laugh, Transported</v>
      </c>
      <c r="Q68" s="18"/>
      <c r="R68" s="19" t="str">
        <f>IFERROR(__xludf.DUMMYFUNCTION("""COMPUTED_VALUE"""),"No")</f>
        <v>No</v>
      </c>
      <c r="S68" s="20" t="str">
        <f>IFERROR(__xludf.DUMMYFUNCTION("""COMPUTED_VALUE"""),"https://www.goodreads.com/book/show/36318640-an-earl-in-wolf-s-clothing")</f>
        <v>https://www.goodreads.com/book/show/36318640-an-earl-in-wolf-s-clothing</v>
      </c>
    </row>
    <row r="69">
      <c r="A69" s="16">
        <f>IFERROR(__xludf.DUMMYFUNCTION("""COMPUTED_VALUE"""),44780.68932486111)</f>
        <v>44780.68932</v>
      </c>
      <c r="B69" s="13" t="str">
        <f>IFERROR(__xludf.DUMMYFUNCTION("""COMPUTED_VALUE"""),"Add new entry")</f>
        <v>Add new entry</v>
      </c>
      <c r="C69" s="17" t="str">
        <f>IFERROR(__xludf.DUMMYFUNCTION("""COMPUTED_VALUE"""),"Marquess to a Flame")</f>
        <v>Marquess to a Flame</v>
      </c>
      <c r="D69" s="18" t="str">
        <f>IFERROR(__xludf.DUMMYFUNCTION("""COMPUTED_VALUE"""),"Emily WIndsor")</f>
        <v>Emily WIndsor</v>
      </c>
      <c r="E69" s="18" t="str">
        <f>IFERROR(__xludf.DUMMYFUNCTION("""COMPUTED_VALUE"""),"M/F")</f>
        <v>M/F</v>
      </c>
      <c r="F69" s="18"/>
      <c r="G69" s="18"/>
      <c r="H69" s="18" t="str">
        <f>IFERROR(__xludf.DUMMYFUNCTION("""COMPUTED_VALUE"""),"Dual POV")</f>
        <v>Dual POV</v>
      </c>
      <c r="I69" s="18" t="str">
        <f>IFERROR(__xludf.DUMMYFUNCTION("""COMPUTED_VALUE"""),"Historical Romance")</f>
        <v>Historical Romance</v>
      </c>
      <c r="J69" s="18" t="str">
        <f>IFERROR(__xludf.DUMMYFUNCTION("""COMPUTED_VALUE"""),"Spy/Intrigue/Mystery")</f>
        <v>Spy/Intrigue/Mystery</v>
      </c>
      <c r="K69" s="18"/>
      <c r="L69" s="18" t="str">
        <f>IFERROR(__xludf.DUMMYFUNCTION("""COMPUTED_VALUE"""),"Level 2- Kisses and foreplay, everything else closed door")</f>
        <v>Level 2- Kisses and foreplay, everything else closed door</v>
      </c>
      <c r="M69" s="18"/>
      <c r="N69" s="18"/>
      <c r="O69" s="18" t="str">
        <f>IFERROR(__xludf.DUMMYFUNCTION("""COMPUTED_VALUE"""),"Rules of the Rogue #4")</f>
        <v>Rules of the Rogue #4</v>
      </c>
      <c r="P69" s="18" t="str">
        <f>IFERROR(__xludf.DUMMYFUNCTION("""COMPUTED_VALUE"""),"Swoon, Feel feels, Transported")</f>
        <v>Swoon, Feel feels, Transported</v>
      </c>
      <c r="Q69" s="18" t="str">
        <f>IFERROR(__xludf.DUMMYFUNCTION("""COMPUTED_VALUE"""),"FMC is assaulted (off page)")</f>
        <v>FMC is assaulted (off page)</v>
      </c>
      <c r="R69" s="19" t="str">
        <f>IFERROR(__xludf.DUMMYFUNCTION("""COMPUTED_VALUE"""),"No")</f>
        <v>No</v>
      </c>
      <c r="S69" s="20" t="str">
        <f>IFERROR(__xludf.DUMMYFUNCTION("""COMPUTED_VALUE"""),"https://www.goodreads.com/book/show/43659471-marquess-to-a-flame")</f>
        <v>https://www.goodreads.com/book/show/43659471-marquess-to-a-flame</v>
      </c>
    </row>
    <row r="70">
      <c r="A70" s="16">
        <f>IFERROR(__xludf.DUMMYFUNCTION("""COMPUTED_VALUE"""),44780.69092256945)</f>
        <v>44780.69092</v>
      </c>
      <c r="B70" s="13" t="str">
        <f>IFERROR(__xludf.DUMMYFUNCTION("""COMPUTED_VALUE"""),"Add new entry")</f>
        <v>Add new entry</v>
      </c>
      <c r="C70" s="17" t="str">
        <f>IFERROR(__xludf.DUMMYFUNCTION("""COMPUTED_VALUE"""),"Someday, Someday")</f>
        <v>Someday, Someday</v>
      </c>
      <c r="D70" s="18" t="str">
        <f>IFERROR(__xludf.DUMMYFUNCTION("""COMPUTED_VALUE"""),"Emma Scott")</f>
        <v>Emma Scott</v>
      </c>
      <c r="E70" s="18" t="str">
        <f>IFERROR(__xludf.DUMMYFUNCTION("""COMPUTED_VALUE"""),"M/M")</f>
        <v>M/M</v>
      </c>
      <c r="F70" s="18" t="str">
        <f>IFERROR(__xludf.DUMMYFUNCTION("""COMPUTED_VALUE"""),"LGBTQIA+ &amp; GSM (Gender and Sexual Minorities)")</f>
        <v>LGBTQIA+ &amp; GSM (Gender and Sexual Minorities)</v>
      </c>
      <c r="G70" s="18"/>
      <c r="H70" s="18" t="str">
        <f>IFERROR(__xludf.DUMMYFUNCTION("""COMPUTED_VALUE"""),"Dual POV")</f>
        <v>Dual POV</v>
      </c>
      <c r="I70" s="18" t="str">
        <f>IFERROR(__xludf.DUMMYFUNCTION("""COMPUTED_VALUE"""),"Contemporary")</f>
        <v>Contemporary</v>
      </c>
      <c r="J70" s="18" t="str">
        <f>IFERROR(__xludf.DUMMYFUNCTION("""COMPUTED_VALUE"""),"Billionaires/Millionaires/Gazillionaires etc, Medical- Doctor/Nurse/Vet etc, Slow Burn")</f>
        <v>Billionaires/Millionaires/Gazillionaires etc, Medical- Doctor/Nurse/Vet etc, Slow Burn</v>
      </c>
      <c r="K70" s="18"/>
      <c r="L70" s="18" t="str">
        <f>IFERROR(__xludf.DUMMYFUNCTION("""COMPUTED_VALUE"""),"Level 3- Sexual content in a few chapters")</f>
        <v>Level 3- Sexual content in a few chapters</v>
      </c>
      <c r="M70" s="18"/>
      <c r="N70" s="18" t="str">
        <f>IFERROR(__xludf.DUMMYFUNCTION("""COMPUTED_VALUE"""),"Standalone (not part of a series)")</f>
        <v>Standalone (not part of a series)</v>
      </c>
      <c r="O70" s="18"/>
      <c r="P70" s="18" t="str">
        <f>IFERROR(__xludf.DUMMYFUNCTION("""COMPUTED_VALUE"""),"Swoon, Laugh, Cry, Feel feels")</f>
        <v>Swoon, Laugh, Cry, Feel feels</v>
      </c>
      <c r="Q70" s="18" t="str">
        <f>IFERROR(__xludf.DUMMYFUNCTION("""COMPUTED_VALUE"""),"Drug abuse, homophobia, physical assault")</f>
        <v>Drug abuse, homophobia, physical assault</v>
      </c>
      <c r="R70" s="19" t="str">
        <f>IFERROR(__xludf.DUMMYFUNCTION("""COMPUTED_VALUE"""),"No")</f>
        <v>No</v>
      </c>
      <c r="S70" s="20" t="str">
        <f>IFERROR(__xludf.DUMMYFUNCTION("""COMPUTED_VALUE"""),"https://www.goodreads.com/book/show/41450826-someday-someday")</f>
        <v>https://www.goodreads.com/book/show/41450826-someday-someday</v>
      </c>
    </row>
    <row r="71">
      <c r="A71" s="16">
        <f>IFERROR(__xludf.DUMMYFUNCTION("""COMPUTED_VALUE"""),44780.69392804398)</f>
        <v>44780.69393</v>
      </c>
      <c r="B71" s="13" t="str">
        <f>IFERROR(__xludf.DUMMYFUNCTION("""COMPUTED_VALUE"""),"Add new entry")</f>
        <v>Add new entry</v>
      </c>
      <c r="C71" s="17" t="str">
        <f>IFERROR(__xludf.DUMMYFUNCTION("""COMPUTED_VALUE"""),"Rush")</f>
        <v>Rush</v>
      </c>
      <c r="D71" s="18" t="str">
        <f>IFERROR(__xludf.DUMMYFUNCTION("""COMPUTED_VALUE"""),"Emma Scott")</f>
        <v>Emma Scott</v>
      </c>
      <c r="E71" s="18" t="str">
        <f>IFERROR(__xludf.DUMMYFUNCTION("""COMPUTED_VALUE"""),"M/F")</f>
        <v>M/F</v>
      </c>
      <c r="F71" s="18" t="str">
        <f>IFERROR(__xludf.DUMMYFUNCTION("""COMPUTED_VALUE"""),"Physical disability or illness")</f>
        <v>Physical disability or illness</v>
      </c>
      <c r="G71" s="18" t="str">
        <f>IFERROR(__xludf.DUMMYFUNCTION("""COMPUTED_VALUE"""),"Blind MMC")</f>
        <v>Blind MMC</v>
      </c>
      <c r="H71" s="18" t="str">
        <f>IFERROR(__xludf.DUMMYFUNCTION("""COMPUTED_VALUE"""),"Dual POV, First person")</f>
        <v>Dual POV, First person</v>
      </c>
      <c r="I71" s="18" t="str">
        <f>IFERROR(__xludf.DUMMYFUNCTION("""COMPUTED_VALUE"""),"Contemporary")</f>
        <v>Contemporary</v>
      </c>
      <c r="J71" s="18" t="str">
        <f>IFERROR(__xludf.DUMMYFUNCTION("""COMPUTED_VALUE"""),"Caretaker/Nanny/Governess, Enemies-to-lovers (or dislike-to-love)")</f>
        <v>Caretaker/Nanny/Governess, Enemies-to-lovers (or dislike-to-love)</v>
      </c>
      <c r="K71" s="18"/>
      <c r="L71" s="18"/>
      <c r="M71" s="18"/>
      <c r="N71" s="18"/>
      <c r="O71" s="18" t="str">
        <f>IFERROR(__xludf.DUMMYFUNCTION("""COMPUTED_VALUE"""),"City Lights #3")</f>
        <v>City Lights #3</v>
      </c>
      <c r="P71" s="18" t="str">
        <f>IFERROR(__xludf.DUMMYFUNCTION("""COMPUTED_VALUE"""),"Swoon, Laugh, Cry, Inspired")</f>
        <v>Swoon, Laugh, Cry, Inspired</v>
      </c>
      <c r="Q71" s="18"/>
      <c r="R71" s="19" t="str">
        <f>IFERROR(__xludf.DUMMYFUNCTION("""COMPUTED_VALUE"""),"No")</f>
        <v>No</v>
      </c>
      <c r="S71" s="20" t="str">
        <f>IFERROR(__xludf.DUMMYFUNCTION("""COMPUTED_VALUE"""),"https://www.goodreads.com/book/show/25814647-rush")</f>
        <v>https://www.goodreads.com/book/show/25814647-rush</v>
      </c>
    </row>
    <row r="72">
      <c r="A72" s="16">
        <f>IFERROR(__xludf.DUMMYFUNCTION("""COMPUTED_VALUE"""),44780.696849583335)</f>
        <v>44780.69685</v>
      </c>
      <c r="B72" s="13" t="str">
        <f>IFERROR(__xludf.DUMMYFUNCTION("""COMPUTED_VALUE"""),"Add new entry")</f>
        <v>Add new entry</v>
      </c>
      <c r="C72" s="17" t="str">
        <f>IFERROR(__xludf.DUMMYFUNCTION("""COMPUTED_VALUE"""),"Flaming June")</f>
        <v>Flaming June</v>
      </c>
      <c r="D72" s="18" t="str">
        <f>IFERROR(__xludf.DUMMYFUNCTION("""COMPUTED_VALUE"""),"Emma V. Leech")</f>
        <v>Emma V. Leech</v>
      </c>
      <c r="E72" s="18" t="str">
        <f>IFERROR(__xludf.DUMMYFUNCTION("""COMPUTED_VALUE"""),"M/F")</f>
        <v>M/F</v>
      </c>
      <c r="F72" s="18" t="str">
        <f>IFERROR(__xludf.DUMMYFUNCTION("""COMPUTED_VALUE"""),"Neurodivergent (Autism, ADHD, dyspraxia, dyslexia, etc)")</f>
        <v>Neurodivergent (Autism, ADHD, dyspraxia, dyslexia, etc)</v>
      </c>
      <c r="G72" s="18"/>
      <c r="H72" s="18" t="str">
        <f>IFERROR(__xludf.DUMMYFUNCTION("""COMPUTED_VALUE"""),"Third person")</f>
        <v>Third person</v>
      </c>
      <c r="I72" s="18" t="str">
        <f>IFERROR(__xludf.DUMMYFUNCTION("""COMPUTED_VALUE"""),"Historical Romance")</f>
        <v>Historical Romance</v>
      </c>
      <c r="J72" s="18" t="str">
        <f>IFERROR(__xludf.DUMMYFUNCTION("""COMPUTED_VALUE"""),"placeholder")</f>
        <v>placeholder</v>
      </c>
      <c r="K72" s="18"/>
      <c r="L72" s="18" t="str">
        <f>IFERROR(__xludf.DUMMYFUNCTION("""COMPUTED_VALUE"""),"Level 3- Sexual content in a few chapters")</f>
        <v>Level 3- Sexual content in a few chapters</v>
      </c>
      <c r="M72" s="18"/>
      <c r="N72" s="18"/>
      <c r="O72" s="18" t="str">
        <f>IFERROR(__xludf.DUMMYFUNCTION("""COMPUTED_VALUE"""),"Rogues &amp; Gentlemen #10")</f>
        <v>Rogues &amp; Gentlemen #10</v>
      </c>
      <c r="P72" s="18" t="str">
        <f>IFERROR(__xludf.DUMMYFUNCTION("""COMPUTED_VALUE"""),"Swoon, Laugh, Cry, Feel feels, Learn")</f>
        <v>Swoon, Laugh, Cry, Feel feels, Learn</v>
      </c>
      <c r="Q72" s="18" t="str">
        <f>IFERROR(__xludf.DUMMYFUNCTION("""COMPUTED_VALUE"""),"Suicide attempt")</f>
        <v>Suicide attempt</v>
      </c>
      <c r="R72" s="19" t="str">
        <f>IFERROR(__xludf.DUMMYFUNCTION("""COMPUTED_VALUE"""),"No")</f>
        <v>No</v>
      </c>
      <c r="S72" s="20" t="str">
        <f>IFERROR(__xludf.DUMMYFUNCTION("""COMPUTED_VALUE"""),"https://www.goodreads.com/book/show/40280900-flaming-june")</f>
        <v>https://www.goodreads.com/book/show/40280900-flaming-june</v>
      </c>
    </row>
    <row r="73">
      <c r="A73" s="16">
        <f>IFERROR(__xludf.DUMMYFUNCTION("""COMPUTED_VALUE"""),44887.80015641204)</f>
        <v>44887.80016</v>
      </c>
      <c r="B73" s="13" t="str">
        <f>IFERROR(__xludf.DUMMYFUNCTION("""COMPUTED_VALUE"""),"Add new entry")</f>
        <v>Add new entry</v>
      </c>
      <c r="C73" s="17" t="str">
        <f>IFERROR(__xludf.DUMMYFUNCTION("""COMPUTED_VALUE"""),"A Walrus and a Gentleman")</f>
        <v>A Walrus and a Gentleman</v>
      </c>
      <c r="D73" s="18" t="str">
        <f>IFERROR(__xludf.DUMMYFUNCTION("""COMPUTED_VALUE"""),"Emmaline Strange")</f>
        <v>Emmaline Strange</v>
      </c>
      <c r="E73" s="18" t="str">
        <f>IFERROR(__xludf.DUMMYFUNCTION("""COMPUTED_VALUE"""),"M/M")</f>
        <v>M/M</v>
      </c>
      <c r="F73" s="18" t="str">
        <f>IFERROR(__xludf.DUMMYFUNCTION("""COMPUTED_VALUE"""),"LGBTQIA+ &amp; GSM (Gender and Sexual Minorities)")</f>
        <v>LGBTQIA+ &amp; GSM (Gender and Sexual Minorities)</v>
      </c>
      <c r="G73" s="18"/>
      <c r="H73" s="18"/>
      <c r="I73" s="18" t="str">
        <f>IFERROR(__xludf.DUMMYFUNCTION("""COMPUTED_VALUE"""),"Contemporary, Paranormal")</f>
        <v>Contemporary, Paranormal</v>
      </c>
      <c r="J73" s="18" t="str">
        <f>IFERROR(__xludf.DUMMYFUNCTION("""COMPUTED_VALUE"""),"Age Difference, Angst, Forced Proximity, Pining/Yearning, Shifter/Wereperson, Sweet MC- beta hero/kindhearted heroine/etc")</f>
        <v>Age Difference, Angst, Forced Proximity, Pining/Yearning, Shifter/Wereperson, Sweet MC- beta hero/kindhearted heroine/etc</v>
      </c>
      <c r="K73" s="18" t="str">
        <f>IFERROR(__xludf.DUMMYFUNCTION("""COMPUTED_VALUE"""),"Europe")</f>
        <v>Europe</v>
      </c>
      <c r="L73" s="18" t="str">
        <f>IFERROR(__xludf.DUMMYFUNCTION("""COMPUTED_VALUE"""),"Level 3- Sexual content in a few chapters")</f>
        <v>Level 3- Sexual content in a few chapters</v>
      </c>
      <c r="M73" s="18" t="str">
        <f>IFERROR(__xludf.DUMMYFUNCTION("""COMPUTED_VALUE"""),"Anal sex, Oral sex - fellatio")</f>
        <v>Anal sex, Oral sex - fellatio</v>
      </c>
      <c r="N73" s="18" t="str">
        <f>IFERROR(__xludf.DUMMYFUNCTION("""COMPUTED_VALUE"""),"Standalone (not part of a series)")</f>
        <v>Standalone (not part of a series)</v>
      </c>
      <c r="O73" s="18"/>
      <c r="P73" s="18" t="str">
        <f>IFERROR(__xludf.DUMMYFUNCTION("""COMPUTED_VALUE"""),"Laugh, Cry, Feel feels")</f>
        <v>Laugh, Cry, Feel feels</v>
      </c>
      <c r="Q73" s="18"/>
      <c r="R73" s="19" t="str">
        <f>IFERROR(__xludf.DUMMYFUNCTION("""COMPUTED_VALUE"""),"No")</f>
        <v>No</v>
      </c>
      <c r="S73" s="20" t="str">
        <f>IFERROR(__xludf.DUMMYFUNCTION("""COMPUTED_VALUE"""),"https://www.goodreads.com/book/show/59332168-a-walrus-a-gentleman")</f>
        <v>https://www.goodreads.com/book/show/59332168-a-walrus-a-gentleman</v>
      </c>
    </row>
    <row r="74">
      <c r="A74" s="16">
        <f>IFERROR(__xludf.DUMMYFUNCTION("""COMPUTED_VALUE"""),44918.12923256945)</f>
        <v>44918.12923</v>
      </c>
      <c r="B74" s="13" t="str">
        <f>IFERROR(__xludf.DUMMYFUNCTION("""COMPUTED_VALUE"""),"Add new entry")</f>
        <v>Add new entry</v>
      </c>
      <c r="C74" s="17" t="str">
        <f>IFERROR(__xludf.DUMMYFUNCTION("""COMPUTED_VALUE"""),"Severance Package")</f>
        <v>Severance Package</v>
      </c>
      <c r="D74" s="18" t="str">
        <f>IFERROR(__xludf.DUMMYFUNCTION("""COMPUTED_VALUE"""),"Evelyn Page")</f>
        <v>Evelyn Page</v>
      </c>
      <c r="E74" s="18" t="str">
        <f>IFERROR(__xludf.DUMMYFUNCTION("""COMPUTED_VALUE"""),"MMF")</f>
        <v>MMF</v>
      </c>
      <c r="F74" s="18" t="str">
        <f>IFERROR(__xludf.DUMMYFUNCTION("""COMPUTED_VALUE"""),"LGBTQIA+ &amp; GSM (Gender and Sexual Minorities)")</f>
        <v>LGBTQIA+ &amp; GSM (Gender and Sexual Minorities)</v>
      </c>
      <c r="G74" s="18"/>
      <c r="H74" s="18" t="str">
        <f>IFERROR(__xludf.DUMMYFUNCTION("""COMPUTED_VALUE"""),"Single POV")</f>
        <v>Single POV</v>
      </c>
      <c r="I74" s="18" t="str">
        <f>IFERROR(__xludf.DUMMYFUNCTION("""COMPUTED_VALUE"""),"Erotic Romance, Polyamorous, Romantic Suspense")</f>
        <v>Erotic Romance, Polyamorous, Romantic Suspense</v>
      </c>
      <c r="J74" s="18" t="str">
        <f>IFERROR(__xludf.DUMMYFUNCTION("""COMPUTED_VALUE"""),"Coworkers or Colleagues, Friends-to-lovers, Hurt/Comfort, Menage, One Night Stand, Pining/Yearning, Reverse Harem/Why Choose, Sweet MC- beta hero/kindhearted heroine/etc")</f>
        <v>Coworkers or Colleagues, Friends-to-lovers, Hurt/Comfort, Menage, One Night Stand, Pining/Yearning, Reverse Harem/Why Choose, Sweet MC- beta hero/kindhearted heroine/etc</v>
      </c>
      <c r="K74" s="18" t="str">
        <f>IFERROR(__xludf.DUMMYFUNCTION("""COMPUTED_VALUE"""),"North America")</f>
        <v>North America</v>
      </c>
      <c r="L74" s="18" t="str">
        <f>IFERROR(__xludf.DUMMYFUNCTION("""COMPUTED_VALUE"""),"Level 4- Heavy sexual content, mature audiences only")</f>
        <v>Level 4- Heavy sexual content, mature audiences only</v>
      </c>
      <c r="M74" s="18" t="str">
        <f>IFERROR(__xludf.DUMMYFUNCTION("""COMPUTED_VALUE"""),"Anal sex, Dirty Talk, Double Penetration, Exhibitionism, Oral sex - cunnilingus, Oral sex - fellatio, PIV sex (penis in vagina), Praise Kink")</f>
        <v>Anal sex, Dirty Talk, Double Penetration, Exhibitionism, Oral sex - cunnilingus, Oral sex - fellatio, PIV sex (penis in vagina), Praise Kink</v>
      </c>
      <c r="N74" s="18" t="str">
        <f>IFERROR(__xludf.DUMMYFUNCTION("""COMPUTED_VALUE"""),"Standalone (not part of a series)")</f>
        <v>Standalone (not part of a series)</v>
      </c>
      <c r="O74" s="18"/>
      <c r="P74" s="18" t="str">
        <f>IFERROR(__xludf.DUMMYFUNCTION("""COMPUTED_VALUE"""),"Swoon, Tingle, Laugh, Smolder")</f>
        <v>Swoon, Tingle, Laugh, Smolder</v>
      </c>
      <c r="Q74" s="18" t="str">
        <f>IFERROR(__xludf.DUMMYFUNCTION("""COMPUTED_VALUE"""),"Pregnancy in epilogue ")</f>
        <v>Pregnancy in epilogue </v>
      </c>
      <c r="R74" s="19" t="str">
        <f>IFERROR(__xludf.DUMMYFUNCTION("""COMPUTED_VALUE"""),"No")</f>
        <v>No</v>
      </c>
      <c r="S74" s="19"/>
    </row>
    <row r="75">
      <c r="A75" s="16">
        <f>IFERROR(__xludf.DUMMYFUNCTION("""COMPUTED_VALUE"""),44904.334642291666)</f>
        <v>44904.33464</v>
      </c>
      <c r="B75" s="13" t="str">
        <f>IFERROR(__xludf.DUMMYFUNCTION("""COMPUTED_VALUE"""),"Add new entry")</f>
        <v>Add new entry</v>
      </c>
      <c r="C75" s="17" t="str">
        <f>IFERROR(__xludf.DUMMYFUNCTION("""COMPUTED_VALUE"""),"Ship It")</f>
        <v>Ship It</v>
      </c>
      <c r="D75" s="18" t="str">
        <f>IFERROR(__xludf.DUMMYFUNCTION("""COMPUTED_VALUE"""),"Evie Blum")</f>
        <v>Evie Blum</v>
      </c>
      <c r="E75" s="18" t="str">
        <f>IFERROR(__xludf.DUMMYFUNCTION("""COMPUTED_VALUE"""),"M/F")</f>
        <v>M/F</v>
      </c>
      <c r="F75" s="18"/>
      <c r="G75" s="18" t="str">
        <f>IFERROR(__xludf.DUMMYFUNCTION("""COMPUTED_VALUE"""),"Young professionals in the SF bay area.")</f>
        <v>Young professionals in the SF bay area.</v>
      </c>
      <c r="H75" s="18" t="str">
        <f>IFERROR(__xludf.DUMMYFUNCTION("""COMPUTED_VALUE"""),"Dual POV")</f>
        <v>Dual POV</v>
      </c>
      <c r="I75" s="18" t="str">
        <f>IFERROR(__xludf.DUMMYFUNCTION("""COMPUTED_VALUE"""),"Contemporary, Romantic Comedy")</f>
        <v>Contemporary, Romantic Comedy</v>
      </c>
      <c r="J75" s="18" t="str">
        <f>IFERROR(__xludf.DUMMYFUNCTION("""COMPUTED_VALUE"""),"Coworkers or Colleagues, One Night Stand")</f>
        <v>Coworkers or Colleagues, One Night Stand</v>
      </c>
      <c r="K75" s="18" t="str">
        <f>IFERROR(__xludf.DUMMYFUNCTION("""COMPUTED_VALUE"""),"North America")</f>
        <v>North America</v>
      </c>
      <c r="L75" s="18" t="str">
        <f>IFERROR(__xludf.DUMMYFUNCTION("""COMPUTED_VALUE"""),"Level 4- Heavy sexual content, mature audiences only")</f>
        <v>Level 4- Heavy sexual content, mature audiences only</v>
      </c>
      <c r="M75" s="18" t="str">
        <f>IFERROR(__xludf.DUMMYFUNCTION("""COMPUTED_VALUE"""),"Oral sex - cunnilingus, Oral sex - fellatio, PIV sex (penis in vagina)")</f>
        <v>Oral sex - cunnilingus, Oral sex - fellatio, PIV sex (penis in vagina)</v>
      </c>
      <c r="N75" s="18" t="str">
        <f>IFERROR(__xludf.DUMMYFUNCTION("""COMPUTED_VALUE"""),"Standalone (not part of a series)")</f>
        <v>Standalone (not part of a series)</v>
      </c>
      <c r="O75" s="18"/>
      <c r="P75" s="18" t="str">
        <f>IFERROR(__xludf.DUMMYFUNCTION("""COMPUTED_VALUE"""),"Laugh, Cry, Dream")</f>
        <v>Laugh, Cry, Dream</v>
      </c>
      <c r="Q75" s="18"/>
      <c r="R75" s="19" t="str">
        <f>IFERROR(__xludf.DUMMYFUNCTION("""COMPUTED_VALUE"""),"No")</f>
        <v>No</v>
      </c>
      <c r="S75" s="20" t="str">
        <f>IFERROR(__xludf.DUMMYFUNCTION("""COMPUTED_VALUE"""),"https://www.goodreads.com/book/show/63896353-ship-it?ac=1&amp;from_search=true&amp;qid=IxZ7IYyJFk&amp;rank=1")</f>
        <v>https://www.goodreads.com/book/show/63896353-ship-it?ac=1&amp;from_search=true&amp;qid=IxZ7IYyJFk&amp;rank=1</v>
      </c>
    </row>
    <row r="76">
      <c r="A76" s="16">
        <f>IFERROR(__xludf.DUMMYFUNCTION("""COMPUTED_VALUE"""),45679.94127780093)</f>
        <v>45679.94128</v>
      </c>
      <c r="B76" s="13" t="str">
        <f>IFERROR(__xludf.DUMMYFUNCTION("""COMPUTED_VALUE"""),"Add new entry")</f>
        <v>Add new entry</v>
      </c>
      <c r="C76" s="17" t="str">
        <f>IFERROR(__xludf.DUMMYFUNCTION("""COMPUTED_VALUE"""),"Let Your Hearts Be Light")</f>
        <v>Let Your Hearts Be Light</v>
      </c>
      <c r="D76" s="18" t="str">
        <f>IFERROR(__xludf.DUMMYFUNCTION("""COMPUTED_VALUE"""),"Fae Quin")</f>
        <v>Fae Quin</v>
      </c>
      <c r="E76" s="18" t="str">
        <f>IFERROR(__xludf.DUMMYFUNCTION("""COMPUTED_VALUE"""),"M/M")</f>
        <v>M/M</v>
      </c>
      <c r="F76" s="18" t="str">
        <f>IFERROR(__xludf.DUMMYFUNCTION("""COMPUTED_VALUE"""),"LGBTQIA+ &amp; GSM (Gender and Sexual Minorities), Mental disability or illness")</f>
        <v>LGBTQIA+ &amp; GSM (Gender and Sexual Minorities), Mental disability or illness</v>
      </c>
      <c r="G76" s="18" t="str">
        <f>IFERROR(__xludf.DUMMYFUNCTION("""COMPUTED_VALUE"""),"Both MMCs are over 40 and single parents")</f>
        <v>Both MMCs are over 40 and single parents</v>
      </c>
      <c r="H76" s="18" t="str">
        <f>IFERROR(__xludf.DUMMYFUNCTION("""COMPUTED_VALUE"""),"Dual POV, First person")</f>
        <v>Dual POV, First person</v>
      </c>
      <c r="I76" s="18" t="str">
        <f>IFERROR(__xludf.DUMMYFUNCTION("""COMPUTED_VALUE"""),"Contemporary, Romantic Comedy")</f>
        <v>Contemporary, Romantic Comedy</v>
      </c>
      <c r="J76" s="18" t="str">
        <f>IFERROR(__xludf.DUMMYFUNCTION("""COMPUTED_VALUE"""),"Blue Collar/Farmer/Rancher etc, Enemies-to-lovers (or dislike-to-love), Foodies- Chef/Baker/Bartender etc, Grumpy/Sunshine, Holidays, Mature (35 and over), Single Parent, Small Town, Tattoos &amp; Piercings")</f>
        <v>Blue Collar/Farmer/Rancher etc, Enemies-to-lovers (or dislike-to-love), Foodies- Chef/Baker/Bartender etc, Grumpy/Sunshine, Holidays, Mature (35 and over), Single Parent, Small Town, Tattoos &amp; Piercings</v>
      </c>
      <c r="K76" s="18" t="str">
        <f>IFERROR(__xludf.DUMMYFUNCTION("""COMPUTED_VALUE"""),"North America")</f>
        <v>North America</v>
      </c>
      <c r="L76" s="18" t="str">
        <f>IFERROR(__xludf.DUMMYFUNCTION("""COMPUTED_VALUE"""),"Level 4- Heavy sexual content, mature audiences only")</f>
        <v>Level 4- Heavy sexual content, mature audiences only</v>
      </c>
      <c r="M76" s="18" t="str">
        <f>IFERROR(__xludf.DUMMYFUNCTION("""COMPUTED_VALUE"""),"Anal sex, Oral sex - fellatio, Food Play, Rimming")</f>
        <v>Anal sex, Oral sex - fellatio, Food Play, Rimming</v>
      </c>
      <c r="N76" s="18" t="str">
        <f>IFERROR(__xludf.DUMMYFUNCTION("""COMPUTED_VALUE"""),"Series- can be read as standalones")</f>
        <v>Series- can be read as standalones</v>
      </c>
      <c r="O76" s="18" t="str">
        <f>IFERROR(__xludf.DUMMYFUNCTION("""COMPUTED_VALUE"""),"Christmas Daddies #1")</f>
        <v>Christmas Daddies #1</v>
      </c>
      <c r="P76" s="18" t="str">
        <f>IFERROR(__xludf.DUMMYFUNCTION("""COMPUTED_VALUE"""),"Swoon, Tingle, Laugh, Feel feels")</f>
        <v>Swoon, Tingle, Laugh, Feel feels</v>
      </c>
      <c r="Q76" s="18" t="str">
        <f>IFERROR(__xludf.DUMMYFUNCTION("""COMPUTED_VALUE"""),"Sibling death (car accident), panic attacks, anxiety, parental neglect")</f>
        <v>Sibling death (car accident), panic attacks, anxiety, parental neglect</v>
      </c>
      <c r="R76" s="19" t="str">
        <f>IFERROR(__xludf.DUMMYFUNCTION("""COMPUTED_VALUE"""),"No")</f>
        <v>No</v>
      </c>
      <c r="S76" s="20" t="str">
        <f>IFERROR(__xludf.DUMMYFUNCTION("""COMPUTED_VALUE"""),"https://www.goodreads.com/book/show/63327305-let-your-hearts-be-light?ref=nav_sb_ss_1_24")</f>
        <v>https://www.goodreads.com/book/show/63327305-let-your-hearts-be-light?ref=nav_sb_ss_1_24</v>
      </c>
    </row>
    <row r="77">
      <c r="A77" s="16">
        <f>IFERROR(__xludf.DUMMYFUNCTION("""COMPUTED_VALUE"""),45047.24616768519)</f>
        <v>45047.24617</v>
      </c>
      <c r="B77" s="13" t="str">
        <f>IFERROR(__xludf.DUMMYFUNCTION("""COMPUTED_VALUE"""),"Add new entry")</f>
        <v>Add new entry</v>
      </c>
      <c r="C77" s="17" t="str">
        <f>IFERROR(__xludf.DUMMYFUNCTION("""COMPUTED_VALUE"""),"Convergence of Desire")</f>
        <v>Convergence of Desire</v>
      </c>
      <c r="D77" s="18" t="str">
        <f>IFERROR(__xludf.DUMMYFUNCTION("""COMPUTED_VALUE"""),"Felicity Niven ")</f>
        <v>Felicity Niven </v>
      </c>
      <c r="E77" s="18" t="str">
        <f>IFERROR(__xludf.DUMMYFUNCTION("""COMPUTED_VALUE"""),"M/F")</f>
        <v>M/F</v>
      </c>
      <c r="F77" s="18" t="str">
        <f>IFERROR(__xludf.DUMMYFUNCTION("""COMPUTED_VALUE"""),"Neurodivergent (Autism, ADHD, dyspraxia, dyslexia, etc)")</f>
        <v>Neurodivergent (Autism, ADHD, dyspraxia, dyslexia, etc)</v>
      </c>
      <c r="G77" s="18" t="str">
        <f>IFERROR(__xludf.DUMMYFUNCTION("""COMPUTED_VALUE"""),"Neurodivergent FMC (who you can’t help but fall in love with) and rake MMC who slowly becomes reformed, and is trying his best even if he’s a bit emotionally stunted!")</f>
        <v>Neurodivergent FMC (who you can’t help but fall in love with) and rake MMC who slowly becomes reformed, and is trying his best even if he’s a bit emotionally stunted!</v>
      </c>
      <c r="H77" s="18" t="str">
        <f>IFERROR(__xludf.DUMMYFUNCTION("""COMPUTED_VALUE"""),"Third person")</f>
        <v>Third person</v>
      </c>
      <c r="I77" s="18" t="str">
        <f>IFERROR(__xludf.DUMMYFUNCTION("""COMPUTED_VALUE"""),"Historical Romance")</f>
        <v>Historical Romance</v>
      </c>
      <c r="J77" s="18" t="str">
        <f>IFERROR(__xludf.DUMMYFUNCTION("""COMPUTED_VALUE"""),"Marriage of Convenience (or arranged marriage), Only One Bed, Pining/Yearning, Rake/Player, Relationship Coach-  (ie; Teach me how to kiss), Regency, Slow Burn, Virgin MC")</f>
        <v>Marriage of Convenience (or arranged marriage), Only One Bed, Pining/Yearning, Rake/Player, Relationship Coach-  (ie; Teach me how to kiss), Regency, Slow Burn, Virgin MC</v>
      </c>
      <c r="K77" s="18" t="str">
        <f>IFERROR(__xludf.DUMMYFUNCTION("""COMPUTED_VALUE"""),"Europe")</f>
        <v>Europe</v>
      </c>
      <c r="L77" s="18" t="str">
        <f>IFERROR(__xludf.DUMMYFUNCTION("""COMPUTED_VALUE"""),"Level 3- Sexual content in a few chapters")</f>
        <v>Level 3- Sexual content in a few chapters</v>
      </c>
      <c r="M77" s="18" t="str">
        <f>IFERROR(__xludf.DUMMYFUNCTION("""COMPUTED_VALUE"""),"Oral sex - cunnilingus, PIV sex (penis in vagina)")</f>
        <v>Oral sex - cunnilingus, PIV sex (penis in vagina)</v>
      </c>
      <c r="N77" s="18" t="str">
        <f>IFERROR(__xludf.DUMMYFUNCTION("""COMPUTED_VALUE"""),"Series- can be read as standalones")</f>
        <v>Series- can be read as standalones</v>
      </c>
      <c r="O77" s="18" t="str">
        <f>IFERROR(__xludf.DUMMYFUNCTION("""COMPUTED_VALUE"""),"The Lovelocks of London #1")</f>
        <v>The Lovelocks of London #1</v>
      </c>
      <c r="P77" s="18" t="str">
        <f>IFERROR(__xludf.DUMMYFUNCTION("""COMPUTED_VALUE"""),"Swoon, Laugh, Cry, Feel feels")</f>
        <v>Swoon, Laugh, Cry, Feel feels</v>
      </c>
      <c r="Q77" s="18" t="str">
        <f>IFERROR(__xludf.DUMMYFUNCTION("""COMPUTED_VALUE"""),"Sexual assault/attempted rape (not by the MMC), consensual non-monogamy (to start with - it’s a very slow burn! Not too much detail of this though), injury &amp; blood, brief suicidal thoughts mentioned ")</f>
        <v>Sexual assault/attempted rape (not by the MMC), consensual non-monogamy (to start with - it’s a very slow burn! Not too much detail of this though), injury &amp; blood, brief suicidal thoughts mentioned </v>
      </c>
      <c r="R77" s="19" t="str">
        <f>IFERROR(__xludf.DUMMYFUNCTION("""COMPUTED_VALUE"""),"No")</f>
        <v>No</v>
      </c>
      <c r="S77" s="20" t="str">
        <f>IFERROR(__xludf.DUMMYFUNCTION("""COMPUTED_VALUE"""),"https://www.goodreads.com/book/show/61993247")</f>
        <v>https://www.goodreads.com/book/show/61993247</v>
      </c>
    </row>
    <row r="78">
      <c r="A78" s="16">
        <f>IFERROR(__xludf.DUMMYFUNCTION("""COMPUTED_VALUE"""),44888.21426278935)</f>
        <v>44888.21426</v>
      </c>
      <c r="B78" s="13" t="str">
        <f>IFERROR(__xludf.DUMMYFUNCTION("""COMPUTED_VALUE"""),"Add new entry")</f>
        <v>Add new entry</v>
      </c>
      <c r="C78" s="17" t="str">
        <f>IFERROR(__xludf.DUMMYFUNCTION("""COMPUTED_VALUE"""),"The Governess and the Orc")</f>
        <v>The Governess and the Orc</v>
      </c>
      <c r="D78" s="18" t="str">
        <f>IFERROR(__xludf.DUMMYFUNCTION("""COMPUTED_VALUE"""),"Finley Fenn")</f>
        <v>Finley Fenn</v>
      </c>
      <c r="E78" s="18" t="str">
        <f>IFERROR(__xludf.DUMMYFUNCTION("""COMPUTED_VALUE"""),"M/F")</f>
        <v>M/F</v>
      </c>
      <c r="F78" s="18" t="str">
        <f>IFERROR(__xludf.DUMMYFUNCTION("""COMPUTED_VALUE"""),"BIPoC (Black, Indigenous, People of Colour)")</f>
        <v>BIPoC (Black, Indigenous, People of Colour)</v>
      </c>
      <c r="G78" s="18"/>
      <c r="H78" s="18" t="str">
        <f>IFERROR(__xludf.DUMMYFUNCTION("""COMPUTED_VALUE"""),"Single POV")</f>
        <v>Single POV</v>
      </c>
      <c r="I78" s="18" t="str">
        <f>IFERROR(__xludf.DUMMYFUNCTION("""COMPUTED_VALUE"""),"Fantasy")</f>
        <v>Fantasy</v>
      </c>
      <c r="J78" s="18" t="str">
        <f>IFERROR(__xludf.DUMMYFUNCTION("""COMPUTED_VALUE"""),"Caretaker/Nanny/Governess, Creatures or Monsters- Dragon/Orc/Fae/etc, Fake Relationship, Road Trip/Travel, Teacher/Writer/Librarian")</f>
        <v>Caretaker/Nanny/Governess, Creatures or Monsters- Dragon/Orc/Fae/etc, Fake Relationship, Road Trip/Travel, Teacher/Writer/Librarian</v>
      </c>
      <c r="K78" s="18"/>
      <c r="L78" s="18" t="str">
        <f>IFERROR(__xludf.DUMMYFUNCTION("""COMPUTED_VALUE"""),"Level 4- Heavy sexual content, mature audiences only")</f>
        <v>Level 4- Heavy sexual content, mature audiences only</v>
      </c>
      <c r="M78" s="18"/>
      <c r="N78" s="18" t="str">
        <f>IFERROR(__xludf.DUMMYFUNCTION("""COMPUTED_VALUE"""),"Series- can be read as standalones")</f>
        <v>Series- can be read as standalones</v>
      </c>
      <c r="O78" s="18" t="str">
        <f>IFERROR(__xludf.DUMMYFUNCTION("""COMPUTED_VALUE"""),"Orc Sworn #7")</f>
        <v>Orc Sworn #7</v>
      </c>
      <c r="P78" s="18" t="str">
        <f>IFERROR(__xludf.DUMMYFUNCTION("""COMPUTED_VALUE"""),"Laugh, Feel feels, Transported")</f>
        <v>Laugh, Feel feels, Transported</v>
      </c>
      <c r="Q78" s="18"/>
      <c r="R78" s="19" t="str">
        <f>IFERROR(__xludf.DUMMYFUNCTION("""COMPUTED_VALUE"""),"No")</f>
        <v>No</v>
      </c>
      <c r="S78" s="20" t="str">
        <f>IFERROR(__xludf.DUMMYFUNCTION("""COMPUTED_VALUE"""),"https://www.goodreads.com/book/show/61311029-the-governess-and-the-orc")</f>
        <v>https://www.goodreads.com/book/show/61311029-the-governess-and-the-orc</v>
      </c>
    </row>
    <row r="79">
      <c r="A79" s="16">
        <f>IFERROR(__xludf.DUMMYFUNCTION("""COMPUTED_VALUE"""),44888.219374548615)</f>
        <v>44888.21937</v>
      </c>
      <c r="B79" s="13" t="str">
        <f>IFERROR(__xludf.DUMMYFUNCTION("""COMPUTED_VALUE"""),"Add new entry")</f>
        <v>Add new entry</v>
      </c>
      <c r="C79" s="17" t="str">
        <f>IFERROR(__xludf.DUMMYFUNCTION("""COMPUTED_VALUE"""),"The Librarian and the Orc")</f>
        <v>The Librarian and the Orc</v>
      </c>
      <c r="D79" s="18" t="str">
        <f>IFERROR(__xludf.DUMMYFUNCTION("""COMPUTED_VALUE"""),"Finley Fenn")</f>
        <v>Finley Fenn</v>
      </c>
      <c r="E79" s="18" t="str">
        <f>IFERROR(__xludf.DUMMYFUNCTION("""COMPUTED_VALUE"""),"M/F")</f>
        <v>M/F</v>
      </c>
      <c r="F79" s="18"/>
      <c r="G79" s="18"/>
      <c r="H79" s="18" t="str">
        <f>IFERROR(__xludf.DUMMYFUNCTION("""COMPUTED_VALUE"""),"Single POV")</f>
        <v>Single POV</v>
      </c>
      <c r="I79" s="18" t="str">
        <f>IFERROR(__xludf.DUMMYFUNCTION("""COMPUTED_VALUE"""),"Fantasy")</f>
        <v>Fantasy</v>
      </c>
      <c r="J79" s="18" t="str">
        <f>IFERROR(__xludf.DUMMYFUNCTION("""COMPUTED_VALUE"""),"BDSM or Kink, Creatures or Monsters- Dragon/Orc/Fae/etc, Enemies-to-lovers (or dislike-to-love), Teacher/Writer/Librarian")</f>
        <v>BDSM or Kink, Creatures or Monsters- Dragon/Orc/Fae/etc, Enemies-to-lovers (or dislike-to-love), Teacher/Writer/Librarian</v>
      </c>
      <c r="K79" s="18"/>
      <c r="L79" s="18" t="str">
        <f>IFERROR(__xludf.DUMMYFUNCTION("""COMPUTED_VALUE"""),"Level 4- Heavy sexual content, mature audiences only")</f>
        <v>Level 4- Heavy sexual content, mature audiences only</v>
      </c>
      <c r="M79" s="18"/>
      <c r="N79" s="18" t="str">
        <f>IFERROR(__xludf.DUMMYFUNCTION("""COMPUTED_VALUE"""),"Series- can be read as standalones")</f>
        <v>Series- can be read as standalones</v>
      </c>
      <c r="O79" s="18" t="str">
        <f>IFERROR(__xludf.DUMMYFUNCTION("""COMPUTED_VALUE"""),"Orc Sworn #3")</f>
        <v>Orc Sworn #3</v>
      </c>
      <c r="P79" s="18" t="str">
        <f>IFERROR(__xludf.DUMMYFUNCTION("""COMPUTED_VALUE"""),"Swoon, Laugh, Cry, Feel feels, Dream, Smolder, Transported")</f>
        <v>Swoon, Laugh, Cry, Feel feels, Dream, Smolder, Transported</v>
      </c>
      <c r="Q79" s="18"/>
      <c r="R79" s="19" t="str">
        <f>IFERROR(__xludf.DUMMYFUNCTION("""COMPUTED_VALUE"""),"No")</f>
        <v>No</v>
      </c>
      <c r="S79" s="20" t="str">
        <f>IFERROR(__xludf.DUMMYFUNCTION("""COMPUTED_VALUE"""),"https://www.goodreads.com/book/show/53581106-the-librarian-and-the-orc")</f>
        <v>https://www.goodreads.com/book/show/53581106-the-librarian-and-the-orc</v>
      </c>
    </row>
    <row r="80">
      <c r="A80" s="16">
        <f>IFERROR(__xludf.DUMMYFUNCTION("""COMPUTED_VALUE"""),45345.96809023149)</f>
        <v>45345.96809</v>
      </c>
      <c r="B80" s="13" t="str">
        <f>IFERROR(__xludf.DUMMYFUNCTION("""COMPUTED_VALUE"""),"Add new entry")</f>
        <v>Add new entry</v>
      </c>
      <c r="C80" s="17" t="str">
        <f>IFERROR(__xludf.DUMMYFUNCTION("""COMPUTED_VALUE"""),"Bloody Sunrise")</f>
        <v>Bloody Sunrise</v>
      </c>
      <c r="D80" s="18" t="str">
        <f>IFERROR(__xludf.DUMMYFUNCTION("""COMPUTED_VALUE"""),"Gwendolyn Harper")</f>
        <v>Gwendolyn Harper</v>
      </c>
      <c r="E80" s="18" t="str">
        <f>IFERROR(__xludf.DUMMYFUNCTION("""COMPUTED_VALUE"""),"M/F")</f>
        <v>M/F</v>
      </c>
      <c r="F80" s="18"/>
      <c r="G80" s="18" t="str">
        <f>IFERROR(__xludf.DUMMYFUNCTION("""COMPUTED_VALUE"""),"Fantastic communication")</f>
        <v>Fantastic communication</v>
      </c>
      <c r="H80" s="18" t="str">
        <f>IFERROR(__xludf.DUMMYFUNCTION("""COMPUTED_VALUE"""),"Dual POV, Third person")</f>
        <v>Dual POV, Third person</v>
      </c>
      <c r="I80" s="18" t="str">
        <f>IFERROR(__xludf.DUMMYFUNCTION("""COMPUTED_VALUE"""),"Adventure, Romantic Suspense")</f>
        <v>Adventure, Romantic Suspense</v>
      </c>
      <c r="J80" s="18" t="str">
        <f>IFERROR(__xludf.DUMMYFUNCTION("""COMPUTED_VALUE"""),"Dystopian, Forced Proximity, Friends-to-lovers, Hurt/Comfort, Novella or Short Story, Only One Bed, Opposites Attract, Road Trip/Travel, survival/post-apoc")</f>
        <v>Dystopian, Forced Proximity, Friends-to-lovers, Hurt/Comfort, Novella or Short Story, Only One Bed, Opposites Attract, Road Trip/Travel, survival/post-apoc</v>
      </c>
      <c r="K80" s="18" t="str">
        <f>IFERROR(__xludf.DUMMYFUNCTION("""COMPUTED_VALUE"""),"North America")</f>
        <v>North America</v>
      </c>
      <c r="L80" s="18" t="str">
        <f>IFERROR(__xludf.DUMMYFUNCTION("""COMPUTED_VALUE"""),"Level 4- Heavy sexual content, mature audiences only")</f>
        <v>Level 4- Heavy sexual content, mature audiences only</v>
      </c>
      <c r="M80" s="18" t="str">
        <f>IFERROR(__xludf.DUMMYFUNCTION("""COMPUTED_VALUE"""),"Oral sex - cunnilingus, Oral sex - fellatio")</f>
        <v>Oral sex - cunnilingus, Oral sex - fellatio</v>
      </c>
      <c r="N80" s="18" t="str">
        <f>IFERROR(__xludf.DUMMYFUNCTION("""COMPUTED_VALUE"""),"Series- must be read in order")</f>
        <v>Series- must be read in order</v>
      </c>
      <c r="O80" s="18" t="str">
        <f>IFERROR(__xludf.DUMMYFUNCTION("""COMPUTED_VALUE"""),"Zombie Apocalypse 1 of 3")</f>
        <v>Zombie Apocalypse 1 of 3</v>
      </c>
      <c r="P80" s="18" t="str">
        <f>IFERROR(__xludf.DUMMYFUNCTION("""COMPUTED_VALUE"""),"Swoon, Laugh, Feel feels, Scared")</f>
        <v>Swoon, Laugh, Feel feels, Scared</v>
      </c>
      <c r="Q80" s="18" t="str">
        <f>IFERROR(__xludf.DUMMYFUNCTION("""COMPUTED_VALUE"""),"mentions of past child abuse, past suicide ideation, almost an attempted SA")</f>
        <v>mentions of past child abuse, past suicide ideation, almost an attempted SA</v>
      </c>
      <c r="R80" s="19" t="str">
        <f>IFERROR(__xludf.DUMMYFUNCTION("""COMPUTED_VALUE"""),"No")</f>
        <v>No</v>
      </c>
      <c r="S80" s="20" t="str">
        <f>IFERROR(__xludf.DUMMYFUNCTION("""COMPUTED_VALUE"""),"https://www.goodreads.com/book/show/41033347-bloody-sunrise")</f>
        <v>https://www.goodreads.com/book/show/41033347-bloody-sunrise</v>
      </c>
    </row>
    <row r="81">
      <c r="A81" s="16">
        <f>IFERROR(__xludf.DUMMYFUNCTION("""COMPUTED_VALUE"""),44780.70084980324)</f>
        <v>44780.70085</v>
      </c>
      <c r="B81" s="13" t="str">
        <f>IFERROR(__xludf.DUMMYFUNCTION("""COMPUTED_VALUE"""),"Add new entry")</f>
        <v>Add new entry</v>
      </c>
      <c r="C81" s="17" t="str">
        <f>IFERROR(__xludf.DUMMYFUNCTION("""COMPUTED_VALUE"""),"How to Save an Undead Life")</f>
        <v>How to Save an Undead Life</v>
      </c>
      <c r="D81" s="18" t="str">
        <f>IFERROR(__xludf.DUMMYFUNCTION("""COMPUTED_VALUE"""),"Hailey Edwards")</f>
        <v>Hailey Edwards</v>
      </c>
      <c r="E81" s="18" t="str">
        <f>IFERROR(__xludf.DUMMYFUNCTION("""COMPUTED_VALUE"""),"M/F")</f>
        <v>M/F</v>
      </c>
      <c r="F81" s="18"/>
      <c r="G81" s="18"/>
      <c r="H81" s="18"/>
      <c r="I81" s="18" t="str">
        <f>IFERROR(__xludf.DUMMYFUNCTION("""COMPUTED_VALUE"""),"Contemporary, Paranormal")</f>
        <v>Contemporary, Paranormal</v>
      </c>
      <c r="J81" s="18" t="str">
        <f>IFERROR(__xludf.DUMMYFUNCTION("""COMPUTED_VALUE"""),"Friends-to-lovers, Love Triangle, Neighbors-to-lovers, Slow Burn, Sweet MC- beta hero/kindhearted heroine/etc")</f>
        <v>Friends-to-lovers, Love Triangle, Neighbors-to-lovers, Slow Burn, Sweet MC- beta hero/kindhearted heroine/etc</v>
      </c>
      <c r="K81" s="18"/>
      <c r="L81" s="18" t="str">
        <f>IFERROR(__xludf.DUMMYFUNCTION("""COMPUTED_VALUE"""),"Level 2- Kisses and foreplay, everything else closed door")</f>
        <v>Level 2- Kisses and foreplay, everything else closed door</v>
      </c>
      <c r="M81" s="18"/>
      <c r="N81" s="18"/>
      <c r="O81" s="18" t="str">
        <f>IFERROR(__xludf.DUMMYFUNCTION("""COMPUTED_VALUE"""),"The Beginner's Guide to Necromancy #1")</f>
        <v>The Beginner's Guide to Necromancy #1</v>
      </c>
      <c r="P81" s="18"/>
      <c r="Q81" s="18" t="str">
        <f>IFERROR(__xludf.DUMMYFUNCTION("""COMPUTED_VALUE"""),"imprisonment and torture of FMC")</f>
        <v>imprisonment and torture of FMC</v>
      </c>
      <c r="R81" s="19" t="str">
        <f>IFERROR(__xludf.DUMMYFUNCTION("""COMPUTED_VALUE"""),"No")</f>
        <v>No</v>
      </c>
      <c r="S81" s="20" t="str">
        <f>IFERROR(__xludf.DUMMYFUNCTION("""COMPUTED_VALUE"""),"https://www.goodreads.com/book/show/25421052-how-to-save-an-undead-life")</f>
        <v>https://www.goodreads.com/book/show/25421052-how-to-save-an-undead-life</v>
      </c>
    </row>
    <row r="82">
      <c r="A82" s="16">
        <f>IFERROR(__xludf.DUMMYFUNCTION("""COMPUTED_VALUE"""),45061.52101162037)</f>
        <v>45061.52101</v>
      </c>
      <c r="B82" s="13" t="str">
        <f>IFERROR(__xludf.DUMMYFUNCTION("""COMPUTED_VALUE"""),"Add new entry")</f>
        <v>Add new entry</v>
      </c>
      <c r="C82" s="17" t="str">
        <f>IFERROR(__xludf.DUMMYFUNCTION("""COMPUTED_VALUE"""),"Wrong For You")</f>
        <v>Wrong For You</v>
      </c>
      <c r="D82" s="18" t="str">
        <f>IFERROR(__xludf.DUMMYFUNCTION("""COMPUTED_VALUE"""),"Harloe Rae")</f>
        <v>Harloe Rae</v>
      </c>
      <c r="E82" s="18" t="str">
        <f>IFERROR(__xludf.DUMMYFUNCTION("""COMPUTED_VALUE"""),"M/F")</f>
        <v>M/F</v>
      </c>
      <c r="F82" s="18"/>
      <c r="G82" s="18"/>
      <c r="H82" s="18" t="str">
        <f>IFERROR(__xludf.DUMMYFUNCTION("""COMPUTED_VALUE"""),"Dual POV")</f>
        <v>Dual POV</v>
      </c>
      <c r="I82" s="18" t="str">
        <f>IFERROR(__xludf.DUMMYFUNCTION("""COMPUTED_VALUE"""),"Contemporary")</f>
        <v>Contemporary</v>
      </c>
      <c r="J82" s="18" t="str">
        <f>IFERROR(__xludf.DUMMYFUNCTION("""COMPUTED_VALUE"""),"Second Chance, Single Parent, Small Town")</f>
        <v>Second Chance, Single Parent, Small Town</v>
      </c>
      <c r="K82" s="18" t="str">
        <f>IFERROR(__xludf.DUMMYFUNCTION("""COMPUTED_VALUE"""),"North America")</f>
        <v>North America</v>
      </c>
      <c r="L82" s="18" t="str">
        <f>IFERROR(__xludf.DUMMYFUNCTION("""COMPUTED_VALUE"""),"Level 3- Sexual content in a few chapters")</f>
        <v>Level 3- Sexual content in a few chapters</v>
      </c>
      <c r="M82" s="18" t="str">
        <f>IFERROR(__xludf.DUMMYFUNCTION("""COMPUTED_VALUE"""),"Dirty Talk, Oral sex - cunnilingus")</f>
        <v>Dirty Talk, Oral sex - cunnilingus</v>
      </c>
      <c r="N82" s="18" t="str">
        <f>IFERROR(__xludf.DUMMYFUNCTION("""COMPUTED_VALUE"""),"Standalone (not part of a series)")</f>
        <v>Standalone (not part of a series)</v>
      </c>
      <c r="O82" s="18"/>
      <c r="P82" s="18" t="str">
        <f>IFERROR(__xludf.DUMMYFUNCTION("""COMPUTED_VALUE"""),"Laugh")</f>
        <v>Laugh</v>
      </c>
      <c r="Q82" s="18"/>
      <c r="R82" s="19" t="str">
        <f>IFERROR(__xludf.DUMMYFUNCTION("""COMPUTED_VALUE"""),"No")</f>
        <v>No</v>
      </c>
      <c r="S82" s="20" t="str">
        <f>IFERROR(__xludf.DUMMYFUNCTION("""COMPUTED_VALUE"""),"https://www.goodreads.com/book/show/123258719-wrong-for-you")</f>
        <v>https://www.goodreads.com/book/show/123258719-wrong-for-you</v>
      </c>
    </row>
    <row r="83">
      <c r="A83" s="16">
        <f>IFERROR(__xludf.DUMMYFUNCTION("""COMPUTED_VALUE"""),44813.46930496528)</f>
        <v>44813.4693</v>
      </c>
      <c r="B83" s="13" t="str">
        <f>IFERROR(__xludf.DUMMYFUNCTION("""COMPUTED_VALUE"""),"Add new entry")</f>
        <v>Add new entry</v>
      </c>
      <c r="C83" s="17" t="str">
        <f>IFERROR(__xludf.DUMMYFUNCTION("""COMPUTED_VALUE"""),"Cold Hearted")</f>
        <v>Cold Hearted</v>
      </c>
      <c r="D83" s="18" t="str">
        <f>IFERROR(__xludf.DUMMYFUNCTION("""COMPUTED_VALUE"""),"Heather Guerre")</f>
        <v>Heather Guerre</v>
      </c>
      <c r="E83" s="18" t="str">
        <f>IFERROR(__xludf.DUMMYFUNCTION("""COMPUTED_VALUE"""),"M/F")</f>
        <v>M/F</v>
      </c>
      <c r="F83" s="18"/>
      <c r="G83" s="18"/>
      <c r="H83" s="18"/>
      <c r="I83" s="18" t="str">
        <f>IFERROR(__xludf.DUMMYFUNCTION("""COMPUTED_VALUE"""),"Contemporary, Paranormal")</f>
        <v>Contemporary, Paranormal</v>
      </c>
      <c r="J83" s="18" t="str">
        <f>IFERROR(__xludf.DUMMYFUNCTION("""COMPUTED_VALUE"""),"Blue Collar/Farmer/Rancher etc, Forced Proximity, Neighbors-to-lovers, Only One Bed, Shifter/Wereperson, Small Town")</f>
        <v>Blue Collar/Farmer/Rancher etc, Forced Proximity, Neighbors-to-lovers, Only One Bed, Shifter/Wereperson, Small Town</v>
      </c>
      <c r="K83" s="18" t="str">
        <f>IFERROR(__xludf.DUMMYFUNCTION("""COMPUTED_VALUE"""),"North America")</f>
        <v>North America</v>
      </c>
      <c r="L83" s="18" t="str">
        <f>IFERROR(__xludf.DUMMYFUNCTION("""COMPUTED_VALUE"""),"Level 4- Heavy sexual content, mature audiences only")</f>
        <v>Level 4- Heavy sexual content, mature audiences only</v>
      </c>
      <c r="M83" s="18"/>
      <c r="N83" s="18" t="str">
        <f>IFERROR(__xludf.DUMMYFUNCTION("""COMPUTED_VALUE"""),"Series- can be read as standalones")</f>
        <v>Series- can be read as standalones</v>
      </c>
      <c r="O83" s="18" t="str">
        <f>IFERROR(__xludf.DUMMYFUNCTION("""COMPUTED_VALUE"""),"Tooth &amp; Claw book #1")</f>
        <v>Tooth &amp; Claw book #1</v>
      </c>
      <c r="P83" s="18"/>
      <c r="Q83" s="18" t="str">
        <f>IFERROR(__xludf.DUMMYFUNCTION("""COMPUTED_VALUE"""),"Mental illness")</f>
        <v>Mental illness</v>
      </c>
      <c r="R83" s="19" t="str">
        <f>IFERROR(__xludf.DUMMYFUNCTION("""COMPUTED_VALUE"""),"No")</f>
        <v>No</v>
      </c>
      <c r="S83" s="20" t="str">
        <f>IFERROR(__xludf.DUMMYFUNCTION("""COMPUTED_VALUE"""),"https://www.goodreads.com/book/show/61594456-cold-hearted")</f>
        <v>https://www.goodreads.com/book/show/61594456-cold-hearted</v>
      </c>
    </row>
    <row r="84">
      <c r="A84" s="16">
        <f>IFERROR(__xludf.DUMMYFUNCTION("""COMPUTED_VALUE"""),45457.14171739583)</f>
        <v>45457.14172</v>
      </c>
      <c r="B84" s="13" t="str">
        <f>IFERROR(__xludf.DUMMYFUNCTION("""COMPUTED_VALUE"""),"Add new entry")</f>
        <v>Add new entry</v>
      </c>
      <c r="C84" s="17" t="str">
        <f>IFERROR(__xludf.DUMMYFUNCTION("""COMPUTED_VALUE"""),"The Witch's Wolf ")</f>
        <v>The Witch's Wolf </v>
      </c>
      <c r="D84" s="18" t="str">
        <f>IFERROR(__xludf.DUMMYFUNCTION("""COMPUTED_VALUE"""),"Heather K. Carson")</f>
        <v>Heather K. Carson</v>
      </c>
      <c r="E84" s="18" t="str">
        <f>IFERROR(__xludf.DUMMYFUNCTION("""COMPUTED_VALUE"""),"M/F")</f>
        <v>M/F</v>
      </c>
      <c r="F84" s="18"/>
      <c r="G84" s="18"/>
      <c r="H84" s="18"/>
      <c r="I84" s="18" t="str">
        <f>IFERROR(__xludf.DUMMYFUNCTION("""COMPUTED_VALUE"""),"Paranormal")</f>
        <v>Paranormal</v>
      </c>
      <c r="J84" s="18" t="str">
        <f>IFERROR(__xludf.DUMMYFUNCTION("""COMPUTED_VALUE"""),"Dystopian, Fated Mates, Shifter/Wereperson, Witch/Wizard/Warlock etc")</f>
        <v>Dystopian, Fated Mates, Shifter/Wereperson, Witch/Wizard/Warlock etc</v>
      </c>
      <c r="K84" s="18"/>
      <c r="L84" s="18"/>
      <c r="M84" s="18"/>
      <c r="N84" s="18" t="str">
        <f>IFERROR(__xludf.DUMMYFUNCTION("""COMPUTED_VALUE"""),"Series- must be read in order")</f>
        <v>Series- must be read in order</v>
      </c>
      <c r="O84" s="18" t="str">
        <f>IFERROR(__xludf.DUMMYFUNCTION("""COMPUTED_VALUE"""),"Fated Destinies #1")</f>
        <v>Fated Destinies #1</v>
      </c>
      <c r="P84" s="18"/>
      <c r="Q84" s="18"/>
      <c r="R84" s="19" t="str">
        <f>IFERROR(__xludf.DUMMYFUNCTION("""COMPUTED_VALUE"""),"No")</f>
        <v>No</v>
      </c>
      <c r="S84" s="20" t="str">
        <f>IFERROR(__xludf.DUMMYFUNCTION("""COMPUTED_VALUE"""),"https://www.goodreads.com/book/show/122569261-the-witch-s-wolf")</f>
        <v>https://www.goodreads.com/book/show/122569261-the-witch-s-wolf</v>
      </c>
    </row>
    <row r="85">
      <c r="A85" s="16">
        <f>IFERROR(__xludf.DUMMYFUNCTION("""COMPUTED_VALUE"""),45076.65422380788)</f>
        <v>45076.65422</v>
      </c>
      <c r="B85" s="13" t="str">
        <f>IFERROR(__xludf.DUMMYFUNCTION("""COMPUTED_VALUE"""),"Add new entry")</f>
        <v>Add new entry</v>
      </c>
      <c r="C85" s="17" t="str">
        <f>IFERROR(__xludf.DUMMYFUNCTION("""COMPUTED_VALUE"""),"Fierce Dancer")</f>
        <v>Fierce Dancer</v>
      </c>
      <c r="D85" s="18" t="str">
        <f>IFERROR(__xludf.DUMMYFUNCTION("""COMPUTED_VALUE"""),"Heather Long")</f>
        <v>Heather Long</v>
      </c>
      <c r="E85" s="18" t="str">
        <f>IFERROR(__xludf.DUMMYFUNCTION("""COMPUTED_VALUE"""),"RH / Why choose ")</f>
        <v>RH / Why choose </v>
      </c>
      <c r="F85" s="18" t="str">
        <f>IFERROR(__xludf.DUMMYFUNCTION("""COMPUTED_VALUE"""),"Neurodivergent (Autism, ADHD, dyspraxia, dyslexia, etc), Mental disability or illness")</f>
        <v>Neurodivergent (Autism, ADHD, dyspraxia, dyslexia, etc), Mental disability or illness</v>
      </c>
      <c r="G85" s="18" t="str">
        <f>IFERROR(__xludf.DUMMYFUNCTION("""COMPUTED_VALUE"""),"FMC Emersyn is fiery and tenacious. She's had a tough childhood but is ultimately saved by her brother and his gang known as ""Vandals"". The Vandals are committed to making their neighbourhood safer than it was for them growing up by running a free clini"&amp;"c, giving local kids legitimate jobs and protecting the area from other gangs. The Vandals are all unique with their own quirks. One is slightly neurdivergent, another suffers from severe addiction, another has PTSD.. each character develops throughout th"&amp;"e series and establishes their own relationship with Emersyn. ")</f>
        <v>FMC Emersyn is fiery and tenacious. She's had a tough childhood but is ultimately saved by her brother and his gang known as "Vandals". The Vandals are committed to making their neighbourhood safer than it was for them growing up by running a free clinic, giving local kids legitimate jobs and protecting the area from other gangs. The Vandals are all unique with their own quirks. One is slightly neurdivergent, another suffers from severe addiction, another has PTSD.. each character develops throughout the series and establishes their own relationship with Emersyn. </v>
      </c>
      <c r="H85" s="18" t="str">
        <f>IFERROR(__xludf.DUMMYFUNCTION("""COMPUTED_VALUE"""),"Dual POV, Every main character has pov. ")</f>
        <v>Dual POV, Every main character has pov. </v>
      </c>
      <c r="I85" s="18" t="str">
        <f>IFERROR(__xludf.DUMMYFUNCTION("""COMPUTED_VALUE"""),"Contemporary, Erotic Romance, New Adult (NA), Polyamorous")</f>
        <v>Contemporary, Erotic Romance, New Adult (NA), Polyamorous</v>
      </c>
      <c r="J85" s="18" t="str">
        <f>IFERROR(__xludf.DUMMYFUNCTION("""COMPUTED_VALUE"""),"Age Difference, Angst, Enemies-to-lovers (or dislike-to-love), Grumpy/Sunshine, Hurt/Comfort, Mafia/Gang/Criminal, Reverse Harem/Why Choose, Tattoos &amp; Piercings, Wounded Hero/Heroine &amp; War Heroes/Heroines")</f>
        <v>Age Difference, Angst, Enemies-to-lovers (or dislike-to-love), Grumpy/Sunshine, Hurt/Comfort, Mafia/Gang/Criminal, Reverse Harem/Why Choose, Tattoos &amp; Piercings, Wounded Hero/Heroine &amp; War Heroes/Heroines</v>
      </c>
      <c r="K85" s="18" t="str">
        <f>IFERROR(__xludf.DUMMYFUNCTION("""COMPUTED_VALUE"""),"North America")</f>
        <v>North America</v>
      </c>
      <c r="L85" s="18" t="str">
        <f>IFERROR(__xludf.DUMMYFUNCTION("""COMPUTED_VALUE"""),"Level 4- Heavy sexual content, mature audiences only")</f>
        <v>Level 4- Heavy sexual content, mature audiences only</v>
      </c>
      <c r="M85" s="18" t="str">
        <f>IFERROR(__xludf.DUMMYFUNCTION("""COMPUTED_VALUE"""),"Anal sex, Dirty Talk, Dom/Sub, Double Penetration, Impact play (spanking etc), Oral sex - cunnilingus, Oral sex - fellatio, PIV sex (penis in vagina), Praise Kink")</f>
        <v>Anal sex, Dirty Talk, Dom/Sub, Double Penetration, Impact play (spanking etc), Oral sex - cunnilingus, Oral sex - fellatio, PIV sex (penis in vagina), Praise Kink</v>
      </c>
      <c r="N85" s="18" t="str">
        <f>IFERROR(__xludf.DUMMYFUNCTION("""COMPUTED_VALUE"""),"Series- must be read in order")</f>
        <v>Series- must be read in order</v>
      </c>
      <c r="O85" s="18" t="str">
        <f>IFERROR(__xludf.DUMMYFUNCTION("""COMPUTED_VALUE"""),"82 Street vandals book #9")</f>
        <v>82 Street vandals book #9</v>
      </c>
      <c r="P85" s="18" t="str">
        <f>IFERROR(__xludf.DUMMYFUNCTION("""COMPUTED_VALUE"""),"Tingle, Feel feels")</f>
        <v>Tingle, Feel feels</v>
      </c>
      <c r="Q85" s="18" t="str">
        <f>IFERROR(__xludf.DUMMYFUNCTION("""COMPUTED_VALUE"""),"Assault, murder, kidnap, torture, claustrophobia, non-consensual")</f>
        <v>Assault, murder, kidnap, torture, claustrophobia, non-consensual</v>
      </c>
      <c r="R85" s="19" t="str">
        <f>IFERROR(__xludf.DUMMYFUNCTION("""COMPUTED_VALUE"""),"No")</f>
        <v>No</v>
      </c>
      <c r="S85" s="20" t="str">
        <f>IFERROR(__xludf.DUMMYFUNCTION("""COMPUTED_VALUE"""),"https://www.goodreads.com/book/show/119252474-fierce-dancer")</f>
        <v>https://www.goodreads.com/book/show/119252474-fierce-dancer</v>
      </c>
    </row>
    <row r="86">
      <c r="A86" s="16">
        <f>IFERROR(__xludf.DUMMYFUNCTION("""COMPUTED_VALUE"""),44780.70235664352)</f>
        <v>44780.70236</v>
      </c>
      <c r="B86" s="13" t="str">
        <f>IFERROR(__xludf.DUMMYFUNCTION("""COMPUTED_VALUE"""),"Add new entry")</f>
        <v>Add new entry</v>
      </c>
      <c r="C86" s="17" t="str">
        <f>IFERROR(__xludf.DUMMYFUNCTION("""COMPUTED_VALUE"""),"Alaska Wild")</f>
        <v>Alaska Wild</v>
      </c>
      <c r="D86" s="18" t="str">
        <f>IFERROR(__xludf.DUMMYFUNCTION("""COMPUTED_VALUE"""),"Helena Newbury")</f>
        <v>Helena Newbury</v>
      </c>
      <c r="E86" s="18" t="str">
        <f>IFERROR(__xludf.DUMMYFUNCTION("""COMPUTED_VALUE"""),"M/F")</f>
        <v>M/F</v>
      </c>
      <c r="F86" s="18"/>
      <c r="G86" s="18"/>
      <c r="H86" s="18" t="str">
        <f>IFERROR(__xludf.DUMMYFUNCTION("""COMPUTED_VALUE"""),"Dual POV, Third person")</f>
        <v>Dual POV, Third person</v>
      </c>
      <c r="I86" s="18" t="str">
        <f>IFERROR(__xludf.DUMMYFUNCTION("""COMPUTED_VALUE"""),"Adventure, Romantic Suspense")</f>
        <v>Adventure, Romantic Suspense</v>
      </c>
      <c r="J86" s="18" t="str">
        <f>IFERROR(__xludf.DUMMYFUNCTION("""COMPUTED_VALUE"""),"Antihero/Villian/Stockholm Syndrome, Enemies-to-lovers (or dislike-to-love), Forced Proximity, Outdoorsy- forest/hiking/camping etc, Wounded Hero/Heroine &amp; War Heroes/Heroines")</f>
        <v>Antihero/Villian/Stockholm Syndrome, Enemies-to-lovers (or dislike-to-love), Forced Proximity, Outdoorsy- forest/hiking/camping etc, Wounded Hero/Heroine &amp; War Heroes/Heroines</v>
      </c>
      <c r="K86" s="18"/>
      <c r="L86" s="18" t="str">
        <f>IFERROR(__xludf.DUMMYFUNCTION("""COMPUTED_VALUE"""),"Level 4- Heavy sexual content, mature audiences only")</f>
        <v>Level 4- Heavy sexual content, mature audiences only</v>
      </c>
      <c r="M86" s="18"/>
      <c r="N86" s="18" t="str">
        <f>IFERROR(__xludf.DUMMYFUNCTION("""COMPUTED_VALUE"""),"Standalone (not part of a series)")</f>
        <v>Standalone (not part of a series)</v>
      </c>
      <c r="O86" s="18"/>
      <c r="P86" s="18" t="str">
        <f>IFERROR(__xludf.DUMMYFUNCTION("""COMPUTED_VALUE"""),"Rage, Smolder, Scared, Transported")</f>
        <v>Rage, Smolder, Scared, Transported</v>
      </c>
      <c r="Q86" s="18" t="str">
        <f>IFERROR(__xludf.DUMMYFUNCTION("""COMPUTED_VALUE"""),"PTSD, claustrophobia, gang violence, military danger, past torture, planned kidnapping, starvation, chase scenes, other dangerous situations ")</f>
        <v>PTSD, claustrophobia, gang violence, military danger, past torture, planned kidnapping, starvation, chase scenes, other dangerous situations </v>
      </c>
      <c r="R86" s="19" t="str">
        <f>IFERROR(__xludf.DUMMYFUNCTION("""COMPUTED_VALUE"""),"No")</f>
        <v>No</v>
      </c>
      <c r="S86" s="20" t="str">
        <f>IFERROR(__xludf.DUMMYFUNCTION("""COMPUTED_VALUE"""),"https://www.goodreads.com/book/show/33718834-alaska-wild")</f>
        <v>https://www.goodreads.com/book/show/33718834-alaska-wild</v>
      </c>
    </row>
    <row r="87">
      <c r="A87" s="16">
        <f>IFERROR(__xludf.DUMMYFUNCTION("""COMPUTED_VALUE"""),44780.70475885416)</f>
        <v>44780.70476</v>
      </c>
      <c r="B87" s="13" t="str">
        <f>IFERROR(__xludf.DUMMYFUNCTION("""COMPUTED_VALUE"""),"Add new entry")</f>
        <v>Add new entry</v>
      </c>
      <c r="C87" s="17" t="str">
        <f>IFERROR(__xludf.DUMMYFUNCTION("""COMPUTED_VALUE"""),"Mount Mercy")</f>
        <v>Mount Mercy</v>
      </c>
      <c r="D87" s="18" t="str">
        <f>IFERROR(__xludf.DUMMYFUNCTION("""COMPUTED_VALUE"""),"Helena Newbury")</f>
        <v>Helena Newbury</v>
      </c>
      <c r="E87" s="18" t="str">
        <f>IFERROR(__xludf.DUMMYFUNCTION("""COMPUTED_VALUE"""),"M/F")</f>
        <v>M/F</v>
      </c>
      <c r="F87" s="18"/>
      <c r="G87" s="18"/>
      <c r="H87" s="18"/>
      <c r="I87" s="18" t="str">
        <f>IFERROR(__xludf.DUMMYFUNCTION("""COMPUTED_VALUE"""),"Contemporary, Romantic Suspense")</f>
        <v>Contemporary, Romantic Suspense</v>
      </c>
      <c r="J87" s="18" t="str">
        <f>IFERROR(__xludf.DUMMYFUNCTION("""COMPUTED_VALUE"""),"Forced Proximity, Mafia/Gang/Criminal, Medical- Doctor/Nurse/Vet etc, Spy/Intrigue/Mystery, Wounded Hero/Heroine &amp; War Heroes/Heroines")</f>
        <v>Forced Proximity, Mafia/Gang/Criminal, Medical- Doctor/Nurse/Vet etc, Spy/Intrigue/Mystery, Wounded Hero/Heroine &amp; War Heroes/Heroines</v>
      </c>
      <c r="K87" s="18"/>
      <c r="L87" s="18" t="str">
        <f>IFERROR(__xludf.DUMMYFUNCTION("""COMPUTED_VALUE"""),"Level 4- Heavy sexual content, mature audiences only")</f>
        <v>Level 4- Heavy sexual content, mature audiences only</v>
      </c>
      <c r="M87" s="18"/>
      <c r="N87" s="18" t="str">
        <f>IFERROR(__xludf.DUMMYFUNCTION("""COMPUTED_VALUE"""),"Standalone (not part of a series)")</f>
        <v>Standalone (not part of a series)</v>
      </c>
      <c r="O87" s="18"/>
      <c r="P87" s="18" t="str">
        <f>IFERROR(__xludf.DUMMYFUNCTION("""COMPUTED_VALUE"""),"Smolder, Scared")</f>
        <v>Smolder, Scared</v>
      </c>
      <c r="Q87" s="18" t="str">
        <f>IFERROR(__xludf.DUMMYFUNCTION("""COMPUTED_VALUE"""),"All sorts of violence, bullet wounds, hostage situations, criminal activity, car wrecks")</f>
        <v>All sorts of violence, bullet wounds, hostage situations, criminal activity, car wrecks</v>
      </c>
      <c r="R87" s="19" t="str">
        <f>IFERROR(__xludf.DUMMYFUNCTION("""COMPUTED_VALUE"""),"No")</f>
        <v>No</v>
      </c>
      <c r="S87" s="20" t="str">
        <f>IFERROR(__xludf.DUMMYFUNCTION("""COMPUTED_VALUE"""),"https://www.goodreads.com/book/show/42608724-mount-mercy")</f>
        <v>https://www.goodreads.com/book/show/42608724-mount-mercy</v>
      </c>
    </row>
    <row r="88">
      <c r="A88" s="16">
        <f>IFERROR(__xludf.DUMMYFUNCTION("""COMPUTED_VALUE"""),44784.262748217596)</f>
        <v>44784.26275</v>
      </c>
      <c r="B88" s="13" t="str">
        <f>IFERROR(__xludf.DUMMYFUNCTION("""COMPUTED_VALUE"""),"Add new entry")</f>
        <v>Add new entry</v>
      </c>
      <c r="C88" s="17" t="str">
        <f>IFERROR(__xludf.DUMMYFUNCTION("""COMPUTED_VALUE"""),"Outlaw's Promise")</f>
        <v>Outlaw's Promise</v>
      </c>
      <c r="D88" s="18" t="str">
        <f>IFERROR(__xludf.DUMMYFUNCTION("""COMPUTED_VALUE"""),"Helena Newbury")</f>
        <v>Helena Newbury</v>
      </c>
      <c r="E88" s="18" t="str">
        <f>IFERROR(__xludf.DUMMYFUNCTION("""COMPUTED_VALUE"""),"M/F")</f>
        <v>M/F</v>
      </c>
      <c r="F88" s="18"/>
      <c r="G88" s="18"/>
      <c r="H88" s="18" t="str">
        <f>IFERROR(__xludf.DUMMYFUNCTION("""COMPUTED_VALUE"""),"Dual POV, First person")</f>
        <v>Dual POV, First person</v>
      </c>
      <c r="I88" s="18" t="str">
        <f>IFERROR(__xludf.DUMMYFUNCTION("""COMPUTED_VALUE"""),"Contemporary, Romantic Suspense")</f>
        <v>Contemporary, Romantic Suspense</v>
      </c>
      <c r="J88" s="18" t="str">
        <f>IFERROR(__xludf.DUMMYFUNCTION("""COMPUTED_VALUE"""),"Insta-lust/Insta-love/Insta-coffee, Motorcycle Club")</f>
        <v>Insta-lust/Insta-love/Insta-coffee, Motorcycle Club</v>
      </c>
      <c r="K88" s="18" t="str">
        <f>IFERROR(__xludf.DUMMYFUNCTION("""COMPUTED_VALUE"""),"North America")</f>
        <v>North America</v>
      </c>
      <c r="L88" s="18" t="str">
        <f>IFERROR(__xludf.DUMMYFUNCTION("""COMPUTED_VALUE"""),"Level 4- Heavy sexual content, mature audiences only")</f>
        <v>Level 4- Heavy sexual content, mature audiences only</v>
      </c>
      <c r="M88" s="18"/>
      <c r="N88" s="18" t="str">
        <f>IFERROR(__xludf.DUMMYFUNCTION("""COMPUTED_VALUE"""),"Shared Universe")</f>
        <v>Shared Universe</v>
      </c>
      <c r="O88" s="18"/>
      <c r="P88" s="18" t="str">
        <f>IFERROR(__xludf.DUMMYFUNCTION("""COMPUTED_VALUE"""),"Swoon, Feel feels, Smolder")</f>
        <v>Swoon, Feel feels, Smolder</v>
      </c>
      <c r="Q88" s="18"/>
      <c r="R88" s="19" t="str">
        <f>IFERROR(__xludf.DUMMYFUNCTION("""COMPUTED_VALUE"""),"No")</f>
        <v>No</v>
      </c>
      <c r="S88" s="20" t="str">
        <f>IFERROR(__xludf.DUMMYFUNCTION("""COMPUTED_VALUE"""),"https://www.goodreads.com/book/show/32725923-outlaw-s-promise?from_search=true&amp;from_srp=true&amp;qid=FnYaD9uaJH&amp;rank=1")</f>
        <v>https://www.goodreads.com/book/show/32725923-outlaw-s-promise?from_search=true&amp;from_srp=true&amp;qid=FnYaD9uaJH&amp;rank=1</v>
      </c>
    </row>
    <row r="89">
      <c r="A89" s="16">
        <f>IFERROR(__xludf.DUMMYFUNCTION("""COMPUTED_VALUE"""),44780.736488703704)</f>
        <v>44780.73649</v>
      </c>
      <c r="B89" s="13" t="str">
        <f>IFERROR(__xludf.DUMMYFUNCTION("""COMPUTED_VALUE"""),"Add new entry")</f>
        <v>Add new entry</v>
      </c>
      <c r="C89" s="17" t="str">
        <f>IFERROR(__xludf.DUMMYFUNCTION("""COMPUTED_VALUE"""),"Into the Arms of the Storm")</f>
        <v>Into the Arms of the Storm</v>
      </c>
      <c r="D89" s="18" t="str">
        <f>IFERROR(__xludf.DUMMYFUNCTION("""COMPUTED_VALUE"""),"Hollis Kay")</f>
        <v>Hollis Kay</v>
      </c>
      <c r="E89" s="18" t="str">
        <f>IFERROR(__xludf.DUMMYFUNCTION("""COMPUTED_VALUE"""),"M/F")</f>
        <v>M/F</v>
      </c>
      <c r="F89" s="18"/>
      <c r="G89" s="18"/>
      <c r="H89" s="18" t="str">
        <f>IFERROR(__xludf.DUMMYFUNCTION("""COMPUTED_VALUE"""),"Dual POV")</f>
        <v>Dual POV</v>
      </c>
      <c r="I89" s="18" t="str">
        <f>IFERROR(__xludf.DUMMYFUNCTION("""COMPUTED_VALUE"""),"Adventure, Contemporary, Erotic Romance")</f>
        <v>Adventure, Contemporary, Erotic Romance</v>
      </c>
      <c r="J89" s="18" t="str">
        <f>IFERROR(__xludf.DUMMYFUNCTION("""COMPUTED_VALUE"""),"BDSM or Kink, Slow Burn, Contract Killer/Hitman")</f>
        <v>BDSM or Kink, Slow Burn, Contract Killer/Hitman</v>
      </c>
      <c r="K89" s="18"/>
      <c r="L89" s="18" t="str">
        <f>IFERROR(__xludf.DUMMYFUNCTION("""COMPUTED_VALUE"""),"Level 4- Heavy sexual content, mature audiences only")</f>
        <v>Level 4- Heavy sexual content, mature audiences only</v>
      </c>
      <c r="M89" s="18"/>
      <c r="N89" s="18"/>
      <c r="O89" s="18" t="str">
        <f>IFERROR(__xludf.DUMMYFUNCTION("""COMPUTED_VALUE"""),"The Storm #1")</f>
        <v>The Storm #1</v>
      </c>
      <c r="P89" s="18" t="str">
        <f>IFERROR(__xludf.DUMMYFUNCTION("""COMPUTED_VALUE"""),"Swoon, Laugh, Cry, Feel feels")</f>
        <v>Swoon, Laugh, Cry, Feel feels</v>
      </c>
      <c r="Q89" s="18" t="str">
        <f>IFERROR(__xludf.DUMMYFUNCTION("""COMPUTED_VALUE"""),"strong sexual themes, strong language, sexual assault, abuse, and graphic violence.")</f>
        <v>strong sexual themes, strong language, sexual assault, abuse, and graphic violence.</v>
      </c>
      <c r="R89" s="19" t="str">
        <f>IFERROR(__xludf.DUMMYFUNCTION("""COMPUTED_VALUE"""),"No")</f>
        <v>No</v>
      </c>
      <c r="S89" s="20" t="str">
        <f>IFERROR(__xludf.DUMMYFUNCTION("""COMPUTED_VALUE"""),"https://www.goodreads.com/book/show/54837552-into-the-arms-of-the-storm")</f>
        <v>https://www.goodreads.com/book/show/54837552-into-the-arms-of-the-storm</v>
      </c>
    </row>
    <row r="90">
      <c r="A90" s="16">
        <f>IFERROR(__xludf.DUMMYFUNCTION("""COMPUTED_VALUE"""),45151.89265675926)</f>
        <v>45151.89266</v>
      </c>
      <c r="B90" s="13" t="str">
        <f>IFERROR(__xludf.DUMMYFUNCTION("""COMPUTED_VALUE"""),"Add new entry")</f>
        <v>Add new entry</v>
      </c>
      <c r="C90" s="17" t="str">
        <f>IFERROR(__xludf.DUMMYFUNCTION("""COMPUTED_VALUE"""),"The Amish Alibi: Cellmates and Soulmates")</f>
        <v>The Amish Alibi: Cellmates and Soulmates</v>
      </c>
      <c r="D90" s="18" t="str">
        <f>IFERROR(__xludf.DUMMYFUNCTION("""COMPUTED_VALUE"""),"Hosannah Sweitzer")</f>
        <v>Hosannah Sweitzer</v>
      </c>
      <c r="E90" s="18" t="str">
        <f>IFERROR(__xludf.DUMMYFUNCTION("""COMPUTED_VALUE"""),"F/F")</f>
        <v>F/F</v>
      </c>
      <c r="F90" s="18" t="str">
        <f>IFERROR(__xludf.DUMMYFUNCTION("""COMPUTED_VALUE"""),"LGBTQIA+ &amp; GSM (Gender and Sexual Minorities), BIPoC (Black, Indigenous, People of Colour), Religious Minorities")</f>
        <v>LGBTQIA+ &amp; GSM (Gender and Sexual Minorities), BIPoC (Black, Indigenous, People of Colour), Religious Minorities</v>
      </c>
      <c r="G90" s="18" t="str">
        <f>IFERROR(__xludf.DUMMYFUNCTION("""COMPUTED_VALUE"""),"MC is an Amish woman framed and imprisoned for murder, LI is her cellmate who is connected to the real killer")</f>
        <v>MC is an Amish woman framed and imprisoned for murder, LI is her cellmate who is connected to the real killer</v>
      </c>
      <c r="H90" s="18" t="str">
        <f>IFERROR(__xludf.DUMMYFUNCTION("""COMPUTED_VALUE"""),"First person, Third person")</f>
        <v>First person, Third person</v>
      </c>
      <c r="I90" s="18" t="str">
        <f>IFERROR(__xludf.DUMMYFUNCTION("""COMPUTED_VALUE"""),"Adventure, Dark, Romantic Suspense")</f>
        <v>Adventure, Dark, Romantic Suspense</v>
      </c>
      <c r="J90" s="18" t="str">
        <f>IFERROR(__xludf.DUMMYFUNCTION("""COMPUTED_VALUE"""),"Antihero/Villian/Stockholm Syndrome, BDSM or Kink, Forbidden or Taboo, Forced Proximity, Mafia/Gang/Criminal, Off Limits (ie; Brother's Best Friend), Spy/Intrigue/Mystery, Sweet MC- beta hero/kindhearted heroine/etc, Virgin MC")</f>
        <v>Antihero/Villian/Stockholm Syndrome, BDSM or Kink, Forbidden or Taboo, Forced Proximity, Mafia/Gang/Criminal, Off Limits (ie; Brother's Best Friend), Spy/Intrigue/Mystery, Sweet MC- beta hero/kindhearted heroine/etc, Virgin MC</v>
      </c>
      <c r="K90" s="18" t="str">
        <f>IFERROR(__xludf.DUMMYFUNCTION("""COMPUTED_VALUE"""),"North America")</f>
        <v>North America</v>
      </c>
      <c r="L90" s="18" t="str">
        <f>IFERROR(__xludf.DUMMYFUNCTION("""COMPUTED_VALUE"""),"Level 3- Sexual content in a few chapters")</f>
        <v>Level 3- Sexual content in a few chapters</v>
      </c>
      <c r="M90" s="18" t="str">
        <f>IFERROR(__xludf.DUMMYFUNCTION("""COMPUTED_VALUE"""),"Dirty Talk")</f>
        <v>Dirty Talk</v>
      </c>
      <c r="N90" s="18"/>
      <c r="O90" s="18"/>
      <c r="P90" s="18" t="str">
        <f>IFERROR(__xludf.DUMMYFUNCTION("""COMPUTED_VALUE"""),"Swoon, Cry, Feel feels, Smolder, Inspired")</f>
        <v>Swoon, Cry, Feel feels, Smolder, Inspired</v>
      </c>
      <c r="Q90" s="18" t="str">
        <f>IFERROR(__xludf.DUMMYFUNCTION("""COMPUTED_VALUE"""),"Murder mentioned, not shown")</f>
        <v>Murder mentioned, not shown</v>
      </c>
      <c r="R90" s="19" t="str">
        <f>IFERROR(__xludf.DUMMYFUNCTION("""COMPUTED_VALUE"""),"No")</f>
        <v>No</v>
      </c>
      <c r="S90" s="20" t="str">
        <f>IFERROR(__xludf.DUMMYFUNCTION("""COMPUTED_VALUE"""),"https://www.goodreads.com/book/show/196182641-the-amish-alibi")</f>
        <v>https://www.goodreads.com/book/show/196182641-the-amish-alibi</v>
      </c>
    </row>
    <row r="91">
      <c r="A91" s="16">
        <f>IFERROR(__xludf.DUMMYFUNCTION("""COMPUTED_VALUE"""),45156.289987986114)</f>
        <v>45156.28999</v>
      </c>
      <c r="B91" s="13" t="str">
        <f>IFERROR(__xludf.DUMMYFUNCTION("""COMPUTED_VALUE"""),"Add new entry")</f>
        <v>Add new entry</v>
      </c>
      <c r="C91" s="17" t="str">
        <f>IFERROR(__xludf.DUMMYFUNCTION("""COMPUTED_VALUE"""),"Faith, Fangs, and Face-offs: A Tale of Amish Nights, Werewolf Bites, and Hockey Fights")</f>
        <v>Faith, Fangs, and Face-offs: A Tale of Amish Nights, Werewolf Bites, and Hockey Fights</v>
      </c>
      <c r="D91" s="18" t="str">
        <f>IFERROR(__xludf.DUMMYFUNCTION("""COMPUTED_VALUE"""),"Hosannah Sweitzer")</f>
        <v>Hosannah Sweitzer</v>
      </c>
      <c r="E91" s="18" t="str">
        <f>IFERROR(__xludf.DUMMYFUNCTION("""COMPUTED_VALUE"""),"M/F")</f>
        <v>M/F</v>
      </c>
      <c r="F91" s="18" t="str">
        <f>IFERROR(__xludf.DUMMYFUNCTION("""COMPUTED_VALUE"""),"Religious Minorities, Physical disability or illness, Mental disability or illness")</f>
        <v>Religious Minorities, Physical disability or illness, Mental disability or illness</v>
      </c>
      <c r="G91" s="18" t="str">
        <f>IFERROR(__xludf.DUMMYFUNCTION("""COMPUTED_VALUE"""),"Amish woman and werewolf hockey player")</f>
        <v>Amish woman and werewolf hockey player</v>
      </c>
      <c r="H91" s="18" t="str">
        <f>IFERROR(__xludf.DUMMYFUNCTION("""COMPUTED_VALUE"""),"Single POV, First person")</f>
        <v>Single POV, First person</v>
      </c>
      <c r="I91" s="18" t="str">
        <f>IFERROR(__xludf.DUMMYFUNCTION("""COMPUTED_VALUE"""),"Paranormal, Romantic Suspense, Sports Romance")</f>
        <v>Paranormal, Romantic Suspense, Sports Romance</v>
      </c>
      <c r="J91" s="18" t="str">
        <f>IFERROR(__xludf.DUMMYFUNCTION("""COMPUTED_VALUE"""),"Athlete, Enemies-to-lovers (or dislike-to-love), Forced Proximity, Retellings- Fairytale/Folklore/Mythology, Shifter/Wereperson")</f>
        <v>Athlete, Enemies-to-lovers (or dislike-to-love), Forced Proximity, Retellings- Fairytale/Folklore/Mythology, Shifter/Wereperson</v>
      </c>
      <c r="K91" s="18" t="str">
        <f>IFERROR(__xludf.DUMMYFUNCTION("""COMPUTED_VALUE"""),"North America")</f>
        <v>North America</v>
      </c>
      <c r="L91" s="18"/>
      <c r="M91" s="18"/>
      <c r="N91" s="18"/>
      <c r="O91" s="18"/>
      <c r="P91" s="18" t="str">
        <f>IFERROR(__xludf.DUMMYFUNCTION("""COMPUTED_VALUE"""),"Laugh, Feel feels")</f>
        <v>Laugh, Feel feels</v>
      </c>
      <c r="Q91" s="18" t="str">
        <f>IFERROR(__xludf.DUMMYFUNCTION("""COMPUTED_VALUE"""),"Kidnapping, murder")</f>
        <v>Kidnapping, murder</v>
      </c>
      <c r="R91" s="19" t="str">
        <f>IFERROR(__xludf.DUMMYFUNCTION("""COMPUTED_VALUE"""),"No")</f>
        <v>No</v>
      </c>
      <c r="S91" s="20" t="str">
        <f>IFERROR(__xludf.DUMMYFUNCTION("""COMPUTED_VALUE"""),"https://www.goodreads.com/book/show/196732035-faith-fangs-and-face-offs")</f>
        <v>https://www.goodreads.com/book/show/196732035-faith-fangs-and-face-offs</v>
      </c>
    </row>
    <row r="92">
      <c r="A92" s="16">
        <f>IFERROR(__xludf.DUMMYFUNCTION("""COMPUTED_VALUE"""),44780.73897408565)</f>
        <v>44780.73897</v>
      </c>
      <c r="B92" s="13" t="str">
        <f>IFERROR(__xludf.DUMMYFUNCTION("""COMPUTED_VALUE"""),"Add new entry")</f>
        <v>Add new entry</v>
      </c>
      <c r="C92" s="17" t="str">
        <f>IFERROR(__xludf.DUMMYFUNCTION("""COMPUTED_VALUE"""),"Dear Ava")</f>
        <v>Dear Ava</v>
      </c>
      <c r="D92" s="18" t="str">
        <f>IFERROR(__xludf.DUMMYFUNCTION("""COMPUTED_VALUE"""),"Ilsa Madden-Mills")</f>
        <v>Ilsa Madden-Mills</v>
      </c>
      <c r="E92" s="18" t="str">
        <f>IFERROR(__xludf.DUMMYFUNCTION("""COMPUTED_VALUE"""),"M/F")</f>
        <v>M/F</v>
      </c>
      <c r="F92" s="18"/>
      <c r="G92" s="18"/>
      <c r="H92" s="18" t="str">
        <f>IFERROR(__xludf.DUMMYFUNCTION("""COMPUTED_VALUE"""),"Dual POV")</f>
        <v>Dual POV</v>
      </c>
      <c r="I92" s="18" t="str">
        <f>IFERROR(__xludf.DUMMYFUNCTION("""COMPUTED_VALUE"""),"Contemporary, New Adult (NA)")</f>
        <v>Contemporary, New Adult (NA)</v>
      </c>
      <c r="J92" s="18" t="str">
        <f>IFERROR(__xludf.DUMMYFUNCTION("""COMPUTED_VALUE"""),"Antihero/Villian/Stockholm Syndrome, Angst, Bully/Reformed Bully, Enemies-to-lovers (or dislike-to-love)")</f>
        <v>Antihero/Villian/Stockholm Syndrome, Angst, Bully/Reformed Bully, Enemies-to-lovers (or dislike-to-love)</v>
      </c>
      <c r="K92" s="18"/>
      <c r="L92" s="18" t="str">
        <f>IFERROR(__xludf.DUMMYFUNCTION("""COMPUTED_VALUE"""),"Level 3- Sexual content in a few chapters")</f>
        <v>Level 3- Sexual content in a few chapters</v>
      </c>
      <c r="M92" s="18"/>
      <c r="N92" s="18" t="str">
        <f>IFERROR(__xludf.DUMMYFUNCTION("""COMPUTED_VALUE"""),"Standalone (not part of a series)")</f>
        <v>Standalone (not part of a series)</v>
      </c>
      <c r="O92" s="18"/>
      <c r="P92" s="18"/>
      <c r="Q92" s="18" t="str">
        <f>IFERROR(__xludf.DUMMYFUNCTION("""COMPUTED_VALUE"""),"Rape, drug abuse, suicide")</f>
        <v>Rape, drug abuse, suicide</v>
      </c>
      <c r="R92" s="19" t="str">
        <f>IFERROR(__xludf.DUMMYFUNCTION("""COMPUTED_VALUE"""),"No")</f>
        <v>No</v>
      </c>
      <c r="S92" s="20" t="str">
        <f>IFERROR(__xludf.DUMMYFUNCTION("""COMPUTED_VALUE"""),"https://www.goodreads.com/book/show/50900667-dear-ava")</f>
        <v>https://www.goodreads.com/book/show/50900667-dear-ava</v>
      </c>
    </row>
    <row r="93">
      <c r="A93" s="16">
        <f>IFERROR(__xludf.DUMMYFUNCTION("""COMPUTED_VALUE"""),44780.74055260417)</f>
        <v>44780.74055</v>
      </c>
      <c r="B93" s="13" t="str">
        <f>IFERROR(__xludf.DUMMYFUNCTION("""COMPUTED_VALUE"""),"Add new entry")</f>
        <v>Add new entry</v>
      </c>
      <c r="C93" s="17" t="str">
        <f>IFERROR(__xludf.DUMMYFUNCTION("""COMPUTED_VALUE"""),"Saving Askara")</f>
        <v>Saving Askara</v>
      </c>
      <c r="D93" s="18" t="str">
        <f>IFERROR(__xludf.DUMMYFUNCTION("""COMPUTED_VALUE"""),"J. M. Link")</f>
        <v>J. M. Link</v>
      </c>
      <c r="E93" s="18" t="str">
        <f>IFERROR(__xludf.DUMMYFUNCTION("""COMPUTED_VALUE"""),"M/F")</f>
        <v>M/F</v>
      </c>
      <c r="F93" s="18"/>
      <c r="G93" s="18"/>
      <c r="H93" s="18" t="str">
        <f>IFERROR(__xludf.DUMMYFUNCTION("""COMPUTED_VALUE"""),"Single POV")</f>
        <v>Single POV</v>
      </c>
      <c r="I93" s="18" t="str">
        <f>IFERROR(__xludf.DUMMYFUNCTION("""COMPUTED_VALUE"""),"Science Fiction &amp; Alien")</f>
        <v>Science Fiction &amp; Alien</v>
      </c>
      <c r="J93" s="18" t="str">
        <f>IFERROR(__xludf.DUMMYFUNCTION("""COMPUTED_VALUE"""),"Creatures or Monsters- Dragon/Orc/Fae/etc, Medical- Doctor/Nurse/Vet etc")</f>
        <v>Creatures or Monsters- Dragon/Orc/Fae/etc, Medical- Doctor/Nurse/Vet etc</v>
      </c>
      <c r="K93" s="18"/>
      <c r="L93" s="18" t="str">
        <f>IFERROR(__xludf.DUMMYFUNCTION("""COMPUTED_VALUE"""),"Level 3- Sexual content in a few chapters")</f>
        <v>Level 3- Sexual content in a few chapters</v>
      </c>
      <c r="M93" s="18"/>
      <c r="N93" s="18"/>
      <c r="O93" s="18" t="str">
        <f>IFERROR(__xludf.DUMMYFUNCTION("""COMPUTED_VALUE"""),"Saving Askara #1")</f>
        <v>Saving Askara #1</v>
      </c>
      <c r="P93" s="18"/>
      <c r="Q93" s="18"/>
      <c r="R93" s="19" t="str">
        <f>IFERROR(__xludf.DUMMYFUNCTION("""COMPUTED_VALUE"""),"No")</f>
        <v>No</v>
      </c>
      <c r="S93" s="20" t="str">
        <f>IFERROR(__xludf.DUMMYFUNCTION("""COMPUTED_VALUE"""),"https://www.goodreads.com/book/show/50385976-saving-askara")</f>
        <v>https://www.goodreads.com/book/show/50385976-saving-askara</v>
      </c>
    </row>
    <row r="94">
      <c r="A94" s="16">
        <f>IFERROR(__xludf.DUMMYFUNCTION("""COMPUTED_VALUE"""),44780.74216614583)</f>
        <v>44780.74217</v>
      </c>
      <c r="B94" s="13" t="str">
        <f>IFERROR(__xludf.DUMMYFUNCTION("""COMPUTED_VALUE"""),"Add new entry")</f>
        <v>Add new entry</v>
      </c>
      <c r="C94" s="17" t="str">
        <f>IFERROR(__xludf.DUMMYFUNCTION("""COMPUTED_VALUE"""),"Melt For You")</f>
        <v>Melt For You</v>
      </c>
      <c r="D94" s="18" t="str">
        <f>IFERROR(__xludf.DUMMYFUNCTION("""COMPUTED_VALUE"""),"J. T. Geissinger")</f>
        <v>J. T. Geissinger</v>
      </c>
      <c r="E94" s="18" t="str">
        <f>IFERROR(__xludf.DUMMYFUNCTION("""COMPUTED_VALUE"""),"M/F")</f>
        <v>M/F</v>
      </c>
      <c r="F94" s="18"/>
      <c r="G94" s="18"/>
      <c r="H94" s="18" t="str">
        <f>IFERROR(__xludf.DUMMYFUNCTION("""COMPUTED_VALUE"""),"Single POV, First person")</f>
        <v>Single POV, First person</v>
      </c>
      <c r="I94" s="18" t="str">
        <f>IFERROR(__xludf.DUMMYFUNCTION("""COMPUTED_VALUE"""),"Contemporary, Romantic Comedy")</f>
        <v>Contemporary, Romantic Comedy</v>
      </c>
      <c r="J94" s="18" t="str">
        <f>IFERROR(__xludf.DUMMYFUNCTION("""COMPUTED_VALUE"""),"Friends-to-lovers, Relationship Coach-  (ie; Teach me how to kiss), Ordinary MC- Average looks or career, Slow Burn")</f>
        <v>Friends-to-lovers, Relationship Coach-  (ie; Teach me how to kiss), Ordinary MC- Average looks or career, Slow Burn</v>
      </c>
      <c r="K94" s="18"/>
      <c r="L94" s="18" t="str">
        <f>IFERROR(__xludf.DUMMYFUNCTION("""COMPUTED_VALUE"""),"Level 3- Sexual content in a few chapters")</f>
        <v>Level 3- Sexual content in a few chapters</v>
      </c>
      <c r="M94" s="18"/>
      <c r="N94" s="18"/>
      <c r="O94" s="18" t="str">
        <f>IFERROR(__xludf.DUMMYFUNCTION("""COMPUTED_VALUE"""),"Slow Burn #2 ku audio")</f>
        <v>Slow Burn #2 ku audio</v>
      </c>
      <c r="P94" s="18" t="str">
        <f>IFERROR(__xludf.DUMMYFUNCTION("""COMPUTED_VALUE"""),"Tingle, Laugh")</f>
        <v>Tingle, Laugh</v>
      </c>
      <c r="Q94" s="18"/>
      <c r="R94" s="19" t="str">
        <f>IFERROR(__xludf.DUMMYFUNCTION("""COMPUTED_VALUE"""),"No")</f>
        <v>No</v>
      </c>
      <c r="S94" s="20" t="str">
        <f>IFERROR(__xludf.DUMMYFUNCTION("""COMPUTED_VALUE"""),"https://www.goodreads.com/book/show/36564103-melt-for-you")</f>
        <v>https://www.goodreads.com/book/show/36564103-melt-for-you</v>
      </c>
    </row>
    <row r="95">
      <c r="A95" s="16">
        <f>IFERROR(__xludf.DUMMYFUNCTION("""COMPUTED_VALUE"""),44780.74492300926)</f>
        <v>44780.74492</v>
      </c>
      <c r="B95" s="13" t="str">
        <f>IFERROR(__xludf.DUMMYFUNCTION("""COMPUTED_VALUE"""),"Add new entry")</f>
        <v>Add new entry</v>
      </c>
      <c r="C95" s="17" t="str">
        <f>IFERROR(__xludf.DUMMYFUNCTION("""COMPUTED_VALUE"""),"Rules of Engagement")</f>
        <v>Rules of Engagement</v>
      </c>
      <c r="D95" s="18" t="str">
        <f>IFERROR(__xludf.DUMMYFUNCTION("""COMPUTED_VALUE"""),"J. T. Geissinger")</f>
        <v>J. T. Geissinger</v>
      </c>
      <c r="E95" s="18" t="str">
        <f>IFERROR(__xludf.DUMMYFUNCTION("""COMPUTED_VALUE"""),"M/F")</f>
        <v>M/F</v>
      </c>
      <c r="F95" s="18"/>
      <c r="G95" s="18"/>
      <c r="H95" s="18" t="str">
        <f>IFERROR(__xludf.DUMMYFUNCTION("""COMPUTED_VALUE"""),"Dual POV, First person")</f>
        <v>Dual POV, First person</v>
      </c>
      <c r="I95" s="18" t="str">
        <f>IFERROR(__xludf.DUMMYFUNCTION("""COMPUTED_VALUE"""),"Contemporary, Romantic Comedy")</f>
        <v>Contemporary, Romantic Comedy</v>
      </c>
      <c r="J95" s="18" t="str">
        <f>IFERROR(__xludf.DUMMYFUNCTION("""COMPUTED_VALUE"""),"Insta-lust/Insta-love/Insta-coffee, Relationship Coach-  (ie; Teach me how to kiss), Opposites Attract")</f>
        <v>Insta-lust/Insta-love/Insta-coffee, Relationship Coach-  (ie; Teach me how to kiss), Opposites Attract</v>
      </c>
      <c r="K95" s="18"/>
      <c r="L95" s="18" t="str">
        <f>IFERROR(__xludf.DUMMYFUNCTION("""COMPUTED_VALUE"""),"Level 3- Sexual content in a few chapters")</f>
        <v>Level 3- Sexual content in a few chapters</v>
      </c>
      <c r="M95" s="18"/>
      <c r="N95" s="18" t="str">
        <f>IFERROR(__xludf.DUMMYFUNCTION("""COMPUTED_VALUE"""),"Standalone (not part of a series)")</f>
        <v>Standalone (not part of a series)</v>
      </c>
      <c r="O95" s="18"/>
      <c r="P95" s="18"/>
      <c r="Q95" s="18"/>
      <c r="R95" s="19" t="str">
        <f>IFERROR(__xludf.DUMMYFUNCTION("""COMPUTED_VALUE"""),"No")</f>
        <v>No</v>
      </c>
      <c r="S95" s="20" t="str">
        <f>IFERROR(__xludf.DUMMYFUNCTION("""COMPUTED_VALUE"""),"https://www.goodreads.com/book/show/52838537-rules-of-engagement")</f>
        <v>https://www.goodreads.com/book/show/52838537-rules-of-engagement</v>
      </c>
    </row>
    <row r="96">
      <c r="A96" s="16">
        <f>IFERROR(__xludf.DUMMYFUNCTION("""COMPUTED_VALUE"""),44782.81373534722)</f>
        <v>44782.81374</v>
      </c>
      <c r="B96" s="13" t="str">
        <f>IFERROR(__xludf.DUMMYFUNCTION("""COMPUTED_VALUE"""),"Add new entry")</f>
        <v>Add new entry</v>
      </c>
      <c r="C96" s="17" t="str">
        <f>IFERROR(__xludf.DUMMYFUNCTION("""COMPUTED_VALUE"""),"The Rules")</f>
        <v>The Rules</v>
      </c>
      <c r="D96" s="18" t="str">
        <f>IFERROR(__xludf.DUMMYFUNCTION("""COMPUTED_VALUE"""),"Jamie Fessenden")</f>
        <v>Jamie Fessenden</v>
      </c>
      <c r="E96" s="18" t="str">
        <f>IFERROR(__xludf.DUMMYFUNCTION("""COMPUTED_VALUE"""),"MMM")</f>
        <v>MMM</v>
      </c>
      <c r="F96" s="18" t="str">
        <f>IFERROR(__xludf.DUMMYFUNCTION("""COMPUTED_VALUE"""),"LGBTQIA+ &amp; GSM (Gender and Sexual Minorities), Neurodivergent (Autism, ADHD, dyspraxia, dyslexia, etc)")</f>
        <v>LGBTQIA+ &amp; GSM (Gender and Sexual Minorities), Neurodivergent (Autism, ADHD, dyspraxia, dyslexia, etc)</v>
      </c>
      <c r="G96" s="18" t="str">
        <f>IFERROR(__xludf.DUMMYFUNCTION("""COMPUTED_VALUE"""),"Established couple adding a third")</f>
        <v>Established couple adding a third</v>
      </c>
      <c r="H96" s="18" t="str">
        <f>IFERROR(__xludf.DUMMYFUNCTION("""COMPUTED_VALUE"""),"Single POV")</f>
        <v>Single POV</v>
      </c>
      <c r="I96" s="18" t="str">
        <f>IFERROR(__xludf.DUMMYFUNCTION("""COMPUTED_VALUE"""),"Contemporary, Polyamorous")</f>
        <v>Contemporary, Polyamorous</v>
      </c>
      <c r="J96" s="18" t="str">
        <f>IFERROR(__xludf.DUMMYFUNCTION("""COMPUTED_VALUE"""),"Age Difference, Caretaker/Nanny/Governess, Forced Proximity, Menage, Ordinary MC- Average looks or career")</f>
        <v>Age Difference, Caretaker/Nanny/Governess, Forced Proximity, Menage, Ordinary MC- Average looks or career</v>
      </c>
      <c r="K96" s="18" t="str">
        <f>IFERROR(__xludf.DUMMYFUNCTION("""COMPUTED_VALUE"""),"North America")</f>
        <v>North America</v>
      </c>
      <c r="L96" s="18" t="str">
        <f>IFERROR(__xludf.DUMMYFUNCTION("""COMPUTED_VALUE"""),"Level 4- Heavy sexual content, mature audiences only")</f>
        <v>Level 4- Heavy sexual content, mature audiences only</v>
      </c>
      <c r="M96" s="18"/>
      <c r="N96" s="18" t="str">
        <f>IFERROR(__xludf.DUMMYFUNCTION("""COMPUTED_VALUE"""),"Standalone (not part of a series)")</f>
        <v>Standalone (not part of a series)</v>
      </c>
      <c r="O96" s="18"/>
      <c r="P96" s="18" t="str">
        <f>IFERROR(__xludf.DUMMYFUNCTION("""COMPUTED_VALUE"""),"Swoon")</f>
        <v>Swoon</v>
      </c>
      <c r="Q96" s="18" t="str">
        <f>IFERROR(__xludf.DUMMYFUNCTION("""COMPUTED_VALUE"""),"sexual assault of MC and a very sparse recount of when one of the love interests was raped")</f>
        <v>sexual assault of MC and a very sparse recount of when one of the love interests was raped</v>
      </c>
      <c r="R96" s="19" t="str">
        <f>IFERROR(__xludf.DUMMYFUNCTION("""COMPUTED_VALUE"""),"No")</f>
        <v>No</v>
      </c>
      <c r="S96" s="20" t="str">
        <f>IFERROR(__xludf.DUMMYFUNCTION("""COMPUTED_VALUE"""),"https://www.goodreads.com/book/show/36196052-the-rules")</f>
        <v>https://www.goodreads.com/book/show/36196052-the-rules</v>
      </c>
    </row>
    <row r="97">
      <c r="A97" s="16">
        <f>IFERROR(__xludf.DUMMYFUNCTION("""COMPUTED_VALUE"""),45481.8933519213)</f>
        <v>45481.89335</v>
      </c>
      <c r="B97" s="13" t="str">
        <f>IFERROR(__xludf.DUMMYFUNCTION("""COMPUTED_VALUE"""),"Add new entry")</f>
        <v>Add new entry</v>
      </c>
      <c r="C97" s="17" t="str">
        <f>IFERROR(__xludf.DUMMYFUNCTION("""COMPUTED_VALUE"""),"Plier")</f>
        <v>Plier</v>
      </c>
      <c r="D97" s="18" t="str">
        <f>IFERROR(__xludf.DUMMYFUNCTION("""COMPUTED_VALUE"""),"Jane Washington")</f>
        <v>Jane Washington</v>
      </c>
      <c r="E97" s="18" t="str">
        <f>IFERROR(__xludf.DUMMYFUNCTION("""COMPUTED_VALUE"""),"RH")</f>
        <v>RH</v>
      </c>
      <c r="F97" s="18" t="str">
        <f>IFERROR(__xludf.DUMMYFUNCTION("""COMPUTED_VALUE"""),"LGBTQIA+ &amp; GSM (Gender and Sexual Minorities)")</f>
        <v>LGBTQIA+ &amp; GSM (Gender and Sexual Minorities)</v>
      </c>
      <c r="G97" s="18"/>
      <c r="H97" s="18" t="str">
        <f>IFERROR(__xludf.DUMMYFUNCTION("""COMPUTED_VALUE"""),"Third person")</f>
        <v>Third person</v>
      </c>
      <c r="I97" s="18" t="str">
        <f>IFERROR(__xludf.DUMMYFUNCTION("""COMPUTED_VALUE"""),"Fantasy")</f>
        <v>Fantasy</v>
      </c>
      <c r="J97" s="18" t="str">
        <f>IFERROR(__xludf.DUMMYFUNCTION("""COMPUTED_VALUE"""),"A/B/O (alpha/beta/omega), Fated Mates, Hurt/Comfort, Loner/Isolated")</f>
        <v>A/B/O (alpha/beta/omega), Fated Mates, Hurt/Comfort, Loner/Isolated</v>
      </c>
      <c r="K97" s="18" t="str">
        <f>IFERROR(__xludf.DUMMYFUNCTION("""COMPUTED_VALUE"""),"North America")</f>
        <v>North America</v>
      </c>
      <c r="L97" s="18" t="str">
        <f>IFERROR(__xludf.DUMMYFUNCTION("""COMPUTED_VALUE"""),"Level 1- Kisses only, no mention of sex")</f>
        <v>Level 1- Kisses only, no mention of sex</v>
      </c>
      <c r="M97" s="18"/>
      <c r="N97" s="18" t="str">
        <f>IFERROR(__xludf.DUMMYFUNCTION("""COMPUTED_VALUE"""),"Series- must be read in order")</f>
        <v>Series- must be read in order</v>
      </c>
      <c r="O97" s="18" t="str">
        <f>IFERROR(__xludf.DUMMYFUNCTION("""COMPUTED_VALUE"""),"Ironside Academy #1")</f>
        <v>Ironside Academy #1</v>
      </c>
      <c r="P97" s="18" t="str">
        <f>IFERROR(__xludf.DUMMYFUNCTION("""COMPUTED_VALUE"""),"Laugh, Rage, Transported")</f>
        <v>Laugh, Rage, Transported</v>
      </c>
      <c r="Q97" s="18"/>
      <c r="R97" s="19" t="str">
        <f>IFERROR(__xludf.DUMMYFUNCTION("""COMPUTED_VALUE"""),"No")</f>
        <v>No</v>
      </c>
      <c r="S97" s="20" t="str">
        <f>IFERROR(__xludf.DUMMYFUNCTION("""COMPUTED_VALUE"""),"https://www.goodreads.com/book/show/123735338-plier")</f>
        <v>https://www.goodreads.com/book/show/123735338-plier</v>
      </c>
    </row>
    <row r="98">
      <c r="A98" s="16">
        <f>IFERROR(__xludf.DUMMYFUNCTION("""COMPUTED_VALUE"""),44809.105480185186)</f>
        <v>44809.10548</v>
      </c>
      <c r="B98" s="13" t="str">
        <f>IFERROR(__xludf.DUMMYFUNCTION("""COMPUTED_VALUE"""),"Add new entry")</f>
        <v>Add new entry</v>
      </c>
      <c r="C98" s="17" t="str">
        <f>IFERROR(__xludf.DUMMYFUNCTION("""COMPUTED_VALUE"""),"Kumquat ")</f>
        <v>Kumquat </v>
      </c>
      <c r="D98" s="18" t="str">
        <f>IFERROR(__xludf.DUMMYFUNCTION("""COMPUTED_VALUE"""),"Jeff Strand")</f>
        <v>Jeff Strand</v>
      </c>
      <c r="E98" s="18" t="str">
        <f>IFERROR(__xludf.DUMMYFUNCTION("""COMPUTED_VALUE"""),"M/F")</f>
        <v>M/F</v>
      </c>
      <c r="F98" s="18" t="str">
        <f>IFERROR(__xludf.DUMMYFUNCTION("""COMPUTED_VALUE"""),"Physical disability or illness")</f>
        <v>Physical disability or illness</v>
      </c>
      <c r="G98" s="18" t="str">
        <f>IFERROR(__xludf.DUMMYFUNCTION("""COMPUTED_VALUE"""),"Just 2 normal people on a bonkers adventure. ")</f>
        <v>Just 2 normal people on a bonkers adventure. </v>
      </c>
      <c r="H98" s="18" t="str">
        <f>IFERROR(__xludf.DUMMYFUNCTION("""COMPUTED_VALUE"""),"Single POV")</f>
        <v>Single POV</v>
      </c>
      <c r="I98" s="18" t="str">
        <f>IFERROR(__xludf.DUMMYFUNCTION("""COMPUTED_VALUE"""),"Contemporary, Romantic Comedy")</f>
        <v>Contemporary, Romantic Comedy</v>
      </c>
      <c r="J98" s="18" t="str">
        <f>IFERROR(__xludf.DUMMYFUNCTION("""COMPUTED_VALUE"""),"Friends-to-lovers, Insta-lust/Insta-love/Insta-coffee, Ordinary MC- Average looks or career, Road Trip/Travel")</f>
        <v>Friends-to-lovers, Insta-lust/Insta-love/Insta-coffee, Ordinary MC- Average looks or career, Road Trip/Travel</v>
      </c>
      <c r="K98" s="18" t="str">
        <f>IFERROR(__xludf.DUMMYFUNCTION("""COMPUTED_VALUE"""),"North America")</f>
        <v>North America</v>
      </c>
      <c r="L98" s="18" t="str">
        <f>IFERROR(__xludf.DUMMYFUNCTION("""COMPUTED_VALUE"""),"Level 2- Kisses and foreplay, everything else closed door")</f>
        <v>Level 2- Kisses and foreplay, everything else closed door</v>
      </c>
      <c r="M98" s="18" t="str">
        <f>IFERROR(__xludf.DUMMYFUNCTION("""COMPUTED_VALUE"""),"Oral sex - cunnilingus")</f>
        <v>Oral sex - cunnilingus</v>
      </c>
      <c r="N98" s="18" t="str">
        <f>IFERROR(__xludf.DUMMYFUNCTION("""COMPUTED_VALUE"""),"Standalone (not part of a series)")</f>
        <v>Standalone (not part of a series)</v>
      </c>
      <c r="O98" s="18"/>
      <c r="P98" s="18" t="str">
        <f>IFERROR(__xludf.DUMMYFUNCTION("""COMPUTED_VALUE"""),"Laugh")</f>
        <v>Laugh</v>
      </c>
      <c r="Q98" s="18" t="str">
        <f>IFERROR(__xludf.DUMMYFUNCTION("""COMPUTED_VALUE"""),"Out dated pop culture references, HFN ending ")</f>
        <v>Out dated pop culture references, HFN ending </v>
      </c>
      <c r="R98" s="19" t="str">
        <f>IFERROR(__xludf.DUMMYFUNCTION("""COMPUTED_VALUE"""),"No")</f>
        <v>No</v>
      </c>
      <c r="S98" s="20" t="str">
        <f>IFERROR(__xludf.DUMMYFUNCTION("""COMPUTED_VALUE"""),"https://www.goodreads.com/book/show/22366313")</f>
        <v>https://www.goodreads.com/book/show/22366313</v>
      </c>
    </row>
    <row r="99">
      <c r="A99" s="16">
        <f>IFERROR(__xludf.DUMMYFUNCTION("""COMPUTED_VALUE"""),45679.92289871528)</f>
        <v>45679.9229</v>
      </c>
      <c r="B99" s="13" t="str">
        <f>IFERROR(__xludf.DUMMYFUNCTION("""COMPUTED_VALUE"""),"Add new entry")</f>
        <v>Add new entry</v>
      </c>
      <c r="C99" s="17" t="str">
        <f>IFERROR(__xludf.DUMMYFUNCTION("""COMPUTED_VALUE"""),"Come As You Are")</f>
        <v>Come As You Are</v>
      </c>
      <c r="D99" s="18" t="str">
        <f>IFERROR(__xludf.DUMMYFUNCTION("""COMPUTED_VALUE"""),"Jess K. Hardy")</f>
        <v>Jess K. Hardy</v>
      </c>
      <c r="E99" s="18" t="str">
        <f>IFERROR(__xludf.DUMMYFUNCTION("""COMPUTED_VALUE"""),"M/F")</f>
        <v>M/F</v>
      </c>
      <c r="F99" s="18" t="str">
        <f>IFERROR(__xludf.DUMMYFUNCTION("""COMPUTED_VALUE"""),"Over 40")</f>
        <v>Over 40</v>
      </c>
      <c r="G99" s="18" t="str">
        <f>IFERROR(__xludf.DUMMYFUNCTION("""COMPUTED_VALUE"""),"MMC is a former rockstar and currently runs a sober living house. FMC is a divorced mom trying to save her family ski resort.")</f>
        <v>MMC is a former rockstar and currently runs a sober living house. FMC is a divorced mom trying to save her family ski resort.</v>
      </c>
      <c r="H99" s="18" t="str">
        <f>IFERROR(__xludf.DUMMYFUNCTION("""COMPUTED_VALUE"""),"Dual POV, Third person")</f>
        <v>Dual POV, Third person</v>
      </c>
      <c r="I99" s="18" t="str">
        <f>IFERROR(__xludf.DUMMYFUNCTION("""COMPUTED_VALUE"""),"Contemporary")</f>
        <v>Contemporary</v>
      </c>
      <c r="J99" s="18" t="str">
        <f>IFERROR(__xludf.DUMMYFUNCTION("""COMPUTED_VALUE"""),"Celebrities- Rock star/Actor/Model, Coworkers or Colleagues, Mature (35 and over), Outdoorsy- forest/hiking/camping etc, Single Parent, Small Town, Tattoos &amp; Piercings")</f>
        <v>Celebrities- Rock star/Actor/Model, Coworkers or Colleagues, Mature (35 and over), Outdoorsy- forest/hiking/camping etc, Single Parent, Small Town, Tattoos &amp; Piercings</v>
      </c>
      <c r="K99" s="18" t="str">
        <f>IFERROR(__xludf.DUMMYFUNCTION("""COMPUTED_VALUE"""),"North America")</f>
        <v>North America</v>
      </c>
      <c r="L99" s="18" t="str">
        <f>IFERROR(__xludf.DUMMYFUNCTION("""COMPUTED_VALUE"""),"Level 4- Heavy sexual content, mature audiences only")</f>
        <v>Level 4- Heavy sexual content, mature audiences only</v>
      </c>
      <c r="M99" s="18" t="str">
        <f>IFERROR(__xludf.DUMMYFUNCTION("""COMPUTED_VALUE"""),"Dirty Talk, Edging/Orgasm Denial, Oral sex - cunnilingus, Oral sex - fellatio, PIV sex (penis in vagina)")</f>
        <v>Dirty Talk, Edging/Orgasm Denial, Oral sex - cunnilingus, Oral sex - fellatio, PIV sex (penis in vagina)</v>
      </c>
      <c r="N99" s="18" t="str">
        <f>IFERROR(__xludf.DUMMYFUNCTION("""COMPUTED_VALUE"""),"Series- can be read as standalones")</f>
        <v>Series- can be read as standalones</v>
      </c>
      <c r="O99" s="18" t="str">
        <f>IFERROR(__xludf.DUMMYFUNCTION("""COMPUTED_VALUE"""),"Bluebird Basin #1")</f>
        <v>Bluebird Basin #1</v>
      </c>
      <c r="P99" s="18" t="str">
        <f>IFERROR(__xludf.DUMMYFUNCTION("""COMPUTED_VALUE"""),"Swoon, Tingle, Laugh, Cry, Feel feels")</f>
        <v>Swoon, Tingle, Laugh, Cry, Feel feels</v>
      </c>
      <c r="Q99" s="18" t="str">
        <f>IFERROR(__xludf.DUMMYFUNCTION("""COMPUTED_VALUE"""),"addiction, divorce, a gaslighting ex, mourning the loss of a parent, difficult parental relationship")</f>
        <v>addiction, divorce, a gaslighting ex, mourning the loss of a parent, difficult parental relationship</v>
      </c>
      <c r="R99" s="19" t="str">
        <f>IFERROR(__xludf.DUMMYFUNCTION("""COMPUTED_VALUE"""),"No")</f>
        <v>No</v>
      </c>
      <c r="S99" s="20" t="str">
        <f>IFERROR(__xludf.DUMMYFUNCTION("""COMPUTED_VALUE"""),"https://www.goodreads.com/book/show/61615903-come-as-you-are?ac=1&amp;from_search=true&amp;qid=BiLv69ZOVB&amp;rank=1")</f>
        <v>https://www.goodreads.com/book/show/61615903-come-as-you-are?ac=1&amp;from_search=true&amp;qid=BiLv69ZOVB&amp;rank=1</v>
      </c>
    </row>
    <row r="100">
      <c r="A100" s="16">
        <f>IFERROR(__xludf.DUMMYFUNCTION("""COMPUTED_VALUE"""),44780.74873337963)</f>
        <v>44780.74873</v>
      </c>
      <c r="B100" s="13" t="str">
        <f>IFERROR(__xludf.DUMMYFUNCTION("""COMPUTED_VALUE"""),"Add new entry")</f>
        <v>Add new entry</v>
      </c>
      <c r="C100" s="17" t="str">
        <f>IFERROR(__xludf.DUMMYFUNCTION("""COMPUTED_VALUE"""),"Polaris Rising")</f>
        <v>Polaris Rising</v>
      </c>
      <c r="D100" s="18" t="str">
        <f>IFERROR(__xludf.DUMMYFUNCTION("""COMPUTED_VALUE"""),"Jesse Mihalik")</f>
        <v>Jesse Mihalik</v>
      </c>
      <c r="E100" s="18" t="str">
        <f>IFERROR(__xludf.DUMMYFUNCTION("""COMPUTED_VALUE"""),"M/F")</f>
        <v>M/F</v>
      </c>
      <c r="F100" s="18"/>
      <c r="G100" s="18"/>
      <c r="H100" s="18" t="str">
        <f>IFERROR(__xludf.DUMMYFUNCTION("""COMPUTED_VALUE"""),"Single POV")</f>
        <v>Single POV</v>
      </c>
      <c r="I100" s="18" t="str">
        <f>IFERROR(__xludf.DUMMYFUNCTION("""COMPUTED_VALUE"""),"Science Fiction &amp; Alien")</f>
        <v>Science Fiction &amp; Alien</v>
      </c>
      <c r="J100" s="18" t="str">
        <f>IFERROR(__xludf.DUMMYFUNCTION("""COMPUTED_VALUE"""),"Antihero/Villian/Stockholm Syndrome, Angst, Enemies-to-lovers (or dislike-to-love), Forced Proximity, Political, Outlaws")</f>
        <v>Antihero/Villian/Stockholm Syndrome, Angst, Enemies-to-lovers (or dislike-to-love), Forced Proximity, Political, Outlaws</v>
      </c>
      <c r="K100" s="18"/>
      <c r="L100" s="18" t="str">
        <f>IFERROR(__xludf.DUMMYFUNCTION("""COMPUTED_VALUE"""),"Level 3- Sexual content in a few chapters")</f>
        <v>Level 3- Sexual content in a few chapters</v>
      </c>
      <c r="M100" s="18"/>
      <c r="N100" s="18"/>
      <c r="O100" s="18" t="str">
        <f>IFERROR(__xludf.DUMMYFUNCTION("""COMPUTED_VALUE"""),"Consortium Rebellion #1")</f>
        <v>Consortium Rebellion #1</v>
      </c>
      <c r="P100" s="18" t="str">
        <f>IFERROR(__xludf.DUMMYFUNCTION("""COMPUTED_VALUE"""),"Swoon, Tingle, Laugh, Rage, Feel feels")</f>
        <v>Swoon, Tingle, Laugh, Rage, Feel feels</v>
      </c>
      <c r="Q100" s="18"/>
      <c r="R100" s="19" t="str">
        <f>IFERROR(__xludf.DUMMYFUNCTION("""COMPUTED_VALUE"""),"No")</f>
        <v>No</v>
      </c>
      <c r="S100" s="20" t="str">
        <f>IFERROR(__xludf.DUMMYFUNCTION("""COMPUTED_VALUE"""),"https://www.goodreads.com/book/show/35662096-polaris-rising")</f>
        <v>https://www.goodreads.com/book/show/35662096-polaris-rising</v>
      </c>
    </row>
    <row r="101">
      <c r="A101" s="16">
        <f>IFERROR(__xludf.DUMMYFUNCTION("""COMPUTED_VALUE"""),44927.6844629051)</f>
        <v>44927.68446</v>
      </c>
      <c r="B101" s="13" t="str">
        <f>IFERROR(__xludf.DUMMYFUNCTION("""COMPUTED_VALUE"""),"Add new entry")</f>
        <v>Add new entry</v>
      </c>
      <c r="C101" s="17" t="str">
        <f>IFERROR(__xludf.DUMMYFUNCTION("""COMPUTED_VALUE"""),"14 Weeks")</f>
        <v>14 Weeks</v>
      </c>
      <c r="D101" s="18" t="str">
        <f>IFERROR(__xludf.DUMMYFUNCTION("""COMPUTED_VALUE"""),"Jessica Gadziala")</f>
        <v>Jessica Gadziala</v>
      </c>
      <c r="E101" s="18" t="str">
        <f>IFERROR(__xludf.DUMMYFUNCTION("""COMPUTED_VALUE"""),"M/F")</f>
        <v>M/F</v>
      </c>
      <c r="F101" s="18"/>
      <c r="G101" s="18" t="str">
        <f>IFERROR(__xludf.DUMMYFUNCTION("""COMPUTED_VALUE"""),"FMC: Girly girl and at the same time NLOG :) MMC PI with bad past.")</f>
        <v>FMC: Girly girl and at the same time NLOG :) MMC PI with bad past.</v>
      </c>
      <c r="H101" s="18" t="str">
        <f>IFERROR(__xludf.DUMMYFUNCTION("""COMPUTED_VALUE"""),"Dual POV")</f>
        <v>Dual POV</v>
      </c>
      <c r="I101" s="18" t="str">
        <f>IFERROR(__xludf.DUMMYFUNCTION("""COMPUTED_VALUE"""),"Contemporary, Military or Security, Romantic Suspense")</f>
        <v>Contemporary, Military or Security, Romantic Suspense</v>
      </c>
      <c r="J101" s="18" t="str">
        <f>IFERROR(__xludf.DUMMYFUNCTION("""COMPUTED_VALUE"""),"Bodyguards &amp; Security, Spy/Intrigue/Mystery")</f>
        <v>Bodyguards &amp; Security, Spy/Intrigue/Mystery</v>
      </c>
      <c r="K101" s="18" t="str">
        <f>IFERROR(__xludf.DUMMYFUNCTION("""COMPUTED_VALUE"""),"North America")</f>
        <v>North America</v>
      </c>
      <c r="L101" s="18" t="str">
        <f>IFERROR(__xludf.DUMMYFUNCTION("""COMPUTED_VALUE"""),"Level 3- Sexual content in a few chapters")</f>
        <v>Level 3- Sexual content in a few chapters</v>
      </c>
      <c r="M101" s="18"/>
      <c r="N101" s="18" t="str">
        <f>IFERROR(__xludf.DUMMYFUNCTION("""COMPUTED_VALUE"""),"Series- can be read as standalones")</f>
        <v>Series- can be read as standalones</v>
      </c>
      <c r="O101" s="18" t="str">
        <f>IFERROR(__xludf.DUMMYFUNCTION("""COMPUTED_VALUE"""),"Investigators #2")</f>
        <v>Investigators #2</v>
      </c>
      <c r="P101" s="18" t="str">
        <f>IFERROR(__xludf.DUMMYFUNCTION("""COMPUTED_VALUE"""),"Laugh")</f>
        <v>Laugh</v>
      </c>
      <c r="Q101" s="18" t="str">
        <f>IFERROR(__xludf.DUMMYFUNCTION("""COMPUTED_VALUE"""),"Assault of secondary character. FMC sees video.")</f>
        <v>Assault of secondary character. FMC sees video.</v>
      </c>
      <c r="R101" s="19" t="str">
        <f>IFERROR(__xludf.DUMMYFUNCTION("""COMPUTED_VALUE"""),"No")</f>
        <v>No</v>
      </c>
      <c r="S101" s="20" t="str">
        <f>IFERROR(__xludf.DUMMYFUNCTION("""COMPUTED_VALUE"""),"https://www.goodreads.com/book/show/33950707-14-weeks")</f>
        <v>https://www.goodreads.com/book/show/33950707-14-weeks</v>
      </c>
    </row>
    <row r="102">
      <c r="A102" s="16">
        <f>IFERROR(__xludf.DUMMYFUNCTION("""COMPUTED_VALUE"""),45056.12267912037)</f>
        <v>45056.12268</v>
      </c>
      <c r="B102" s="13" t="str">
        <f>IFERROR(__xludf.DUMMYFUNCTION("""COMPUTED_VALUE"""),"Add new entry")</f>
        <v>Add new entry</v>
      </c>
      <c r="C102" s="17" t="str">
        <f>IFERROR(__xludf.DUMMYFUNCTION("""COMPUTED_VALUE"""),"Visions of Scarlett")</f>
        <v>Visions of Scarlett</v>
      </c>
      <c r="D102" s="18" t="str">
        <f>IFERROR(__xludf.DUMMYFUNCTION("""COMPUTED_VALUE"""),"Jessie Ellis")</f>
        <v>Jessie Ellis</v>
      </c>
      <c r="E102" s="18" t="str">
        <f>IFERROR(__xludf.DUMMYFUNCTION("""COMPUTED_VALUE"""),"M/F")</f>
        <v>M/F</v>
      </c>
      <c r="F102" s="18"/>
      <c r="G102" s="18"/>
      <c r="H102" s="18" t="str">
        <f>IFERROR(__xludf.DUMMYFUNCTION("""COMPUTED_VALUE"""),"Dual POV, Third person")</f>
        <v>Dual POV, Third person</v>
      </c>
      <c r="I102" s="18" t="str">
        <f>IFERROR(__xludf.DUMMYFUNCTION("""COMPUTED_VALUE"""),"Contemporary, Dark, Paranormal, Romantic Suspense")</f>
        <v>Contemporary, Dark, Paranormal, Romantic Suspense</v>
      </c>
      <c r="J102" s="18" t="str">
        <f>IFERROR(__xludf.DUMMYFUNCTION("""COMPUTED_VALUE"""),"Age Difference")</f>
        <v>Age Difference</v>
      </c>
      <c r="K102" s="18" t="str">
        <f>IFERROR(__xludf.DUMMYFUNCTION("""COMPUTED_VALUE"""),"North America")</f>
        <v>North America</v>
      </c>
      <c r="L102" s="18" t="str">
        <f>IFERROR(__xludf.DUMMYFUNCTION("""COMPUTED_VALUE"""),"Level 4- Heavy sexual content, mature audiences only")</f>
        <v>Level 4- Heavy sexual content, mature audiences only</v>
      </c>
      <c r="M102" s="18" t="str">
        <f>IFERROR(__xludf.DUMMYFUNCTION("""COMPUTED_VALUE"""),"Dirty Talk, Oral sex - cunnilingus, Praise Kink")</f>
        <v>Dirty Talk, Oral sex - cunnilingus, Praise Kink</v>
      </c>
      <c r="N102" s="18" t="str">
        <f>IFERROR(__xludf.DUMMYFUNCTION("""COMPUTED_VALUE"""),"Series- can be read as standalones")</f>
        <v>Series- can be read as standalones</v>
      </c>
      <c r="O102" s="18" t="str">
        <f>IFERROR(__xludf.DUMMYFUNCTION("""COMPUTED_VALUE"""),"Cursed in Clayton Book 1")</f>
        <v>Cursed in Clayton Book 1</v>
      </c>
      <c r="P102" s="18" t="str">
        <f>IFERROR(__xludf.DUMMYFUNCTION("""COMPUTED_VALUE"""),"Tingle, Scared")</f>
        <v>Tingle, Scared</v>
      </c>
      <c r="Q102" s="18" t="str">
        <f>IFERROR(__xludf.DUMMYFUNCTION("""COMPUTED_VALUE"""),"past abuse")</f>
        <v>past abuse</v>
      </c>
      <c r="R102" s="19" t="str">
        <f>IFERROR(__xludf.DUMMYFUNCTION("""COMPUTED_VALUE"""),"No")</f>
        <v>No</v>
      </c>
      <c r="S102" s="20" t="str">
        <f>IFERROR(__xludf.DUMMYFUNCTION("""COMPUTED_VALUE"""),"https://www.goodreads.com/book/show/147981840-visions-of-scarlett")</f>
        <v>https://www.goodreads.com/book/show/147981840-visions-of-scarlett</v>
      </c>
    </row>
    <row r="103">
      <c r="A103" s="16">
        <f>IFERROR(__xludf.DUMMYFUNCTION("""COMPUTED_VALUE"""),44780.75263204861)</f>
        <v>44780.75263</v>
      </c>
      <c r="B103" s="13" t="str">
        <f>IFERROR(__xludf.DUMMYFUNCTION("""COMPUTED_VALUE"""),"Add new entry")</f>
        <v>Add new entry</v>
      </c>
      <c r="C103" s="17" t="str">
        <f>IFERROR(__xludf.DUMMYFUNCTION("""COMPUTED_VALUE"""),"Wicked")</f>
        <v>Wicked</v>
      </c>
      <c r="D103" s="18" t="str">
        <f>IFERROR(__xludf.DUMMYFUNCTION("""COMPUTED_VALUE"""),"Jill Barnett")</f>
        <v>Jill Barnett</v>
      </c>
      <c r="E103" s="18" t="str">
        <f>IFERROR(__xludf.DUMMYFUNCTION("""COMPUTED_VALUE"""),"M/F")</f>
        <v>M/F</v>
      </c>
      <c r="F103" s="18"/>
      <c r="G103" s="18"/>
      <c r="H103" s="18" t="str">
        <f>IFERROR(__xludf.DUMMYFUNCTION("""COMPUTED_VALUE"""),"Dual POV")</f>
        <v>Dual POV</v>
      </c>
      <c r="I103" s="18" t="str">
        <f>IFERROR(__xludf.DUMMYFUNCTION("""COMPUTED_VALUE"""),"Historical Romance")</f>
        <v>Historical Romance</v>
      </c>
      <c r="J103" s="18" t="str">
        <f>IFERROR(__xludf.DUMMYFUNCTION("""COMPUTED_VALUE"""),"Angst, Enemies-to-lovers (or dislike-to-love), Marriage of Convenience (or arranged marriage), Medieval, Second Chance, Slow Burn")</f>
        <v>Angst, Enemies-to-lovers (or dislike-to-love), Marriage of Convenience (or arranged marriage), Medieval, Second Chance, Slow Burn</v>
      </c>
      <c r="K103" s="18"/>
      <c r="L103" s="18" t="str">
        <f>IFERROR(__xludf.DUMMYFUNCTION("""COMPUTED_VALUE"""),"Level 3- Sexual content in a few chapters")</f>
        <v>Level 3- Sexual content in a few chapters</v>
      </c>
      <c r="M103" s="18"/>
      <c r="N103" s="18"/>
      <c r="O103" s="18" t="str">
        <f>IFERROR(__xludf.DUMMYFUNCTION("""COMPUTED_VALUE"""),"Medieval/The Border Brides #3")</f>
        <v>Medieval/The Border Brides #3</v>
      </c>
      <c r="P103" s="18" t="str">
        <f>IFERROR(__xludf.DUMMYFUNCTION("""COMPUTED_VALUE"""),"Swoon, Laugh, Feel feels, Transported")</f>
        <v>Swoon, Laugh, Feel feels, Transported</v>
      </c>
      <c r="Q103" s="18"/>
      <c r="R103" s="19" t="str">
        <f>IFERROR(__xludf.DUMMYFUNCTION("""COMPUTED_VALUE"""),"No")</f>
        <v>No</v>
      </c>
      <c r="S103" s="20" t="str">
        <f>IFERROR(__xludf.DUMMYFUNCTION("""COMPUTED_VALUE"""),"https://www.goodreads.com/book/show/520541.Wicked")</f>
        <v>https://www.goodreads.com/book/show/520541.Wicked</v>
      </c>
    </row>
    <row r="104">
      <c r="A104" s="16">
        <f>IFERROR(__xludf.DUMMYFUNCTION("""COMPUTED_VALUE"""),44780.75449043982)</f>
        <v>44780.75449</v>
      </c>
      <c r="B104" s="13" t="str">
        <f>IFERROR(__xludf.DUMMYFUNCTION("""COMPUTED_VALUE"""),"Add new entry")</f>
        <v>Add new entry</v>
      </c>
      <c r="C104" s="17" t="str">
        <f>IFERROR(__xludf.DUMMYFUNCTION("""COMPUTED_VALUE"""),"WIld")</f>
        <v>WIld</v>
      </c>
      <c r="D104" s="18" t="str">
        <f>IFERROR(__xludf.DUMMYFUNCTION("""COMPUTED_VALUE"""),"Jill Barnett")</f>
        <v>Jill Barnett</v>
      </c>
      <c r="E104" s="18" t="str">
        <f>IFERROR(__xludf.DUMMYFUNCTION("""COMPUTED_VALUE"""),"M/F")</f>
        <v>M/F</v>
      </c>
      <c r="F104" s="18"/>
      <c r="G104" s="18"/>
      <c r="H104" s="18" t="str">
        <f>IFERROR(__xludf.DUMMYFUNCTION("""COMPUTED_VALUE"""),"Dual POV")</f>
        <v>Dual POV</v>
      </c>
      <c r="I104" s="18" t="str">
        <f>IFERROR(__xludf.DUMMYFUNCTION("""COMPUTED_VALUE"""),"Historical Romance")</f>
        <v>Historical Romance</v>
      </c>
      <c r="J104" s="18" t="str">
        <f>IFERROR(__xludf.DUMMYFUNCTION("""COMPUTED_VALUE"""),"Class Differences, Hurt/Comfort, Loner/Isolated, Medieval, Outdoorsy- forest/hiking/camping etc, Wounded Hero/Heroine &amp; War Heroes/Heroines")</f>
        <v>Class Differences, Hurt/Comfort, Loner/Isolated, Medieval, Outdoorsy- forest/hiking/camping etc, Wounded Hero/Heroine &amp; War Heroes/Heroines</v>
      </c>
      <c r="K104" s="18"/>
      <c r="L104" s="18" t="str">
        <f>IFERROR(__xludf.DUMMYFUNCTION("""COMPUTED_VALUE"""),"Level 4- Heavy sexual content, mature audiences only")</f>
        <v>Level 4- Heavy sexual content, mature audiences only</v>
      </c>
      <c r="M104" s="18"/>
      <c r="N104" s="18"/>
      <c r="O104" s="18" t="str">
        <f>IFERROR(__xludf.DUMMYFUNCTION("""COMPUTED_VALUE"""),"Medieval/The Border Brides #2")</f>
        <v>Medieval/The Border Brides #2</v>
      </c>
      <c r="P104" s="18" t="str">
        <f>IFERROR(__xludf.DUMMYFUNCTION("""COMPUTED_VALUE"""),"Swoon, Tingle, Feel feels, Transported")</f>
        <v>Swoon, Tingle, Feel feels, Transported</v>
      </c>
      <c r="Q104" s="18"/>
      <c r="R104" s="19" t="str">
        <f>IFERROR(__xludf.DUMMYFUNCTION("""COMPUTED_VALUE"""),"No")</f>
        <v>No</v>
      </c>
      <c r="S104" s="20" t="str">
        <f>IFERROR(__xludf.DUMMYFUNCTION("""COMPUTED_VALUE"""),"https://www.goodreads.com/book/show/520543.Wild")</f>
        <v>https://www.goodreads.com/book/show/520543.Wild</v>
      </c>
    </row>
    <row r="105">
      <c r="A105" s="16">
        <f>IFERROR(__xludf.DUMMYFUNCTION("""COMPUTED_VALUE"""),44780.75614505787)</f>
        <v>44780.75615</v>
      </c>
      <c r="B105" s="13" t="str">
        <f>IFERROR(__xludf.DUMMYFUNCTION("""COMPUTED_VALUE"""),"Add new entry")</f>
        <v>Add new entry</v>
      </c>
      <c r="C105" s="17" t="str">
        <f>IFERROR(__xludf.DUMMYFUNCTION("""COMPUTED_VALUE"""),"The Summer Duke")</f>
        <v>The Summer Duke</v>
      </c>
      <c r="D105" s="18" t="str">
        <f>IFERROR(__xludf.DUMMYFUNCTION("""COMPUTED_VALUE"""),"Jillian Eaton")</f>
        <v>Jillian Eaton</v>
      </c>
      <c r="E105" s="18" t="str">
        <f>IFERROR(__xludf.DUMMYFUNCTION("""COMPUTED_VALUE"""),"M/F")</f>
        <v>M/F</v>
      </c>
      <c r="F105" s="18"/>
      <c r="G105" s="18"/>
      <c r="H105" s="18"/>
      <c r="I105" s="18" t="str">
        <f>IFERROR(__xludf.DUMMYFUNCTION("""COMPUTED_VALUE"""),"Historical Romance, Romantic Comedy")</f>
        <v>Historical Romance, Romantic Comedy</v>
      </c>
      <c r="J105" s="18" t="str">
        <f>IFERROR(__xludf.DUMMYFUNCTION("""COMPUTED_VALUE"""),"Insta-lust/Insta-love/Insta-coffee, Marriage of Convenience (or arranged marriage), Novella or Short Story, Regency")</f>
        <v>Insta-lust/Insta-love/Insta-coffee, Marriage of Convenience (or arranged marriage), Novella or Short Story, Regency</v>
      </c>
      <c r="K105" s="18"/>
      <c r="L105" s="18" t="str">
        <f>IFERROR(__xludf.DUMMYFUNCTION("""COMPUTED_VALUE"""),"Level 1- Kisses only, no mention of sex")</f>
        <v>Level 1- Kisses only, no mention of sex</v>
      </c>
      <c r="M105" s="18"/>
      <c r="N105" s="18"/>
      <c r="O105" s="18" t="str">
        <f>IFERROR(__xludf.DUMMYFUNCTION("""COMPUTED_VALUE"""),"A Duke For All Season #3")</f>
        <v>A Duke For All Season #3</v>
      </c>
      <c r="P105" s="18" t="str">
        <f>IFERROR(__xludf.DUMMYFUNCTION("""COMPUTED_VALUE"""),"Laugh")</f>
        <v>Laugh</v>
      </c>
      <c r="Q105" s="18"/>
      <c r="R105" s="19" t="str">
        <f>IFERROR(__xludf.DUMMYFUNCTION("""COMPUTED_VALUE"""),"No")</f>
        <v>No</v>
      </c>
      <c r="S105" s="20" t="str">
        <f>IFERROR(__xludf.DUMMYFUNCTION("""COMPUTED_VALUE"""),"https://www.goodreads.com/book/show/45038064-the-summer-duke")</f>
        <v>https://www.goodreads.com/book/show/45038064-the-summer-duke</v>
      </c>
    </row>
    <row r="106">
      <c r="A106" s="16">
        <f>IFERROR(__xludf.DUMMYFUNCTION("""COMPUTED_VALUE"""),44780.7577747801)</f>
        <v>44780.75777</v>
      </c>
      <c r="B106" s="13" t="str">
        <f>IFERROR(__xludf.DUMMYFUNCTION("""COMPUTED_VALUE"""),"Add new entry")</f>
        <v>Add new entry</v>
      </c>
      <c r="C106" s="17" t="str">
        <f>IFERROR(__xludf.DUMMYFUNCTION("""COMPUTED_VALUE"""),"Eirik")</f>
        <v>Eirik</v>
      </c>
      <c r="D106" s="18" t="str">
        <f>IFERROR(__xludf.DUMMYFUNCTION("""COMPUTED_VALUE"""),"Joanna Bell")</f>
        <v>Joanna Bell</v>
      </c>
      <c r="E106" s="18" t="str">
        <f>IFERROR(__xludf.DUMMYFUNCTION("""COMPUTED_VALUE"""),"M/F")</f>
        <v>M/F</v>
      </c>
      <c r="F106" s="18"/>
      <c r="G106" s="18"/>
      <c r="H106" s="18" t="str">
        <f>IFERROR(__xludf.DUMMYFUNCTION("""COMPUTED_VALUE"""),"Single POV, First person")</f>
        <v>Single POV, First person</v>
      </c>
      <c r="I106" s="18" t="str">
        <f>IFERROR(__xludf.DUMMYFUNCTION("""COMPUTED_VALUE"""),"Fantasy &amp; Gothic, Paranormal")</f>
        <v>Fantasy &amp; Gothic, Paranormal</v>
      </c>
      <c r="J106" s="18" t="str">
        <f>IFERROR(__xludf.DUMMYFUNCTION("""COMPUTED_VALUE"""),"Antihero/Villian/Stockholm Syndrome, Time Travel")</f>
        <v>Antihero/Villian/Stockholm Syndrome, Time Travel</v>
      </c>
      <c r="K106" s="18"/>
      <c r="L106" s="18" t="str">
        <f>IFERROR(__xludf.DUMMYFUNCTION("""COMPUTED_VALUE"""),"Level 4- Heavy sexual content, mature audiences only")</f>
        <v>Level 4- Heavy sexual content, mature audiences only</v>
      </c>
      <c r="M106" s="18"/>
      <c r="N106" s="18"/>
      <c r="O106" s="18" t="str">
        <f>IFERROR(__xludf.DUMMYFUNCTION("""COMPUTED_VALUE"""),"Mists of Albion #1")</f>
        <v>Mists of Albion #1</v>
      </c>
      <c r="P106" s="18" t="str">
        <f>IFERROR(__xludf.DUMMYFUNCTION("""COMPUTED_VALUE"""),"Swoon, Laugh, Cry, Feel feels")</f>
        <v>Swoon, Laugh, Cry, Feel feels</v>
      </c>
      <c r="Q106" s="18"/>
      <c r="R106" s="19" t="str">
        <f>IFERROR(__xludf.DUMMYFUNCTION("""COMPUTED_VALUE"""),"No")</f>
        <v>No</v>
      </c>
      <c r="S106" s="20" t="str">
        <f>IFERROR(__xludf.DUMMYFUNCTION("""COMPUTED_VALUE"""),"https://www.goodreads.com/book/show/36600352-eirik")</f>
        <v>https://www.goodreads.com/book/show/36600352-eirik</v>
      </c>
    </row>
    <row r="107">
      <c r="A107" s="16">
        <f>IFERROR(__xludf.DUMMYFUNCTION("""COMPUTED_VALUE"""),44808.86860694444)</f>
        <v>44808.86861</v>
      </c>
      <c r="B107" s="13" t="str">
        <f>IFERROR(__xludf.DUMMYFUNCTION("""COMPUTED_VALUE"""),"Add new entry")</f>
        <v>Add new entry</v>
      </c>
      <c r="C107" s="17" t="str">
        <f>IFERROR(__xludf.DUMMYFUNCTION("""COMPUTED_VALUE"""),"Pen Pals")</f>
        <v>Pen Pals</v>
      </c>
      <c r="D107" s="18" t="str">
        <f>IFERROR(__xludf.DUMMYFUNCTION("""COMPUTED_VALUE"""),"JT Geissinger")</f>
        <v>JT Geissinger</v>
      </c>
      <c r="E107" s="18" t="str">
        <f>IFERROR(__xludf.DUMMYFUNCTION("""COMPUTED_VALUE"""),"M/F")</f>
        <v>M/F</v>
      </c>
      <c r="F107" s="18"/>
      <c r="G107" s="18"/>
      <c r="H107" s="18" t="str">
        <f>IFERROR(__xludf.DUMMYFUNCTION("""COMPUTED_VALUE"""),"Single POV")</f>
        <v>Single POV</v>
      </c>
      <c r="I107" s="18" t="str">
        <f>IFERROR(__xludf.DUMMYFUNCTION("""COMPUTED_VALUE"""),"Contemporary, Paranormal")</f>
        <v>Contemporary, Paranormal</v>
      </c>
      <c r="J107" s="18" t="str">
        <f>IFERROR(__xludf.DUMMYFUNCTION("""COMPUTED_VALUE"""),"Spy/Intrigue/Mystery")</f>
        <v>Spy/Intrigue/Mystery</v>
      </c>
      <c r="K107" s="18" t="str">
        <f>IFERROR(__xludf.DUMMYFUNCTION("""COMPUTED_VALUE"""),"North America")</f>
        <v>North America</v>
      </c>
      <c r="L107" s="18" t="str">
        <f>IFERROR(__xludf.DUMMYFUNCTION("""COMPUTED_VALUE"""),"Level 4- Heavy sexual content, mature audiences only")</f>
        <v>Level 4- Heavy sexual content, mature audiences only</v>
      </c>
      <c r="M107" s="18" t="str">
        <f>IFERROR(__xludf.DUMMYFUNCTION("""COMPUTED_VALUE"""),"Bondage &amp; Restraints, CNC (Consensual Non Consent), Dirty Talk, Impact play (spanking etc)")</f>
        <v>Bondage &amp; Restraints, CNC (Consensual Non Consent), Dirty Talk, Impact play (spanking etc)</v>
      </c>
      <c r="N107" s="18"/>
      <c r="O107" s="18"/>
      <c r="P107" s="18" t="str">
        <f>IFERROR(__xludf.DUMMYFUNCTION("""COMPUTED_VALUE"""),"Feel feels, Transported")</f>
        <v>Feel feels, Transported</v>
      </c>
      <c r="Q107" s="18" t="str">
        <f>IFERROR(__xludf.DUMMYFUNCTION("""COMPUTED_VALUE"""),"Nontraditional HEA")</f>
        <v>Nontraditional HEA</v>
      </c>
      <c r="R107" s="19" t="str">
        <f>IFERROR(__xludf.DUMMYFUNCTION("""COMPUTED_VALUE"""),"No")</f>
        <v>No</v>
      </c>
      <c r="S107" s="20" t="str">
        <f>IFERROR(__xludf.DUMMYFUNCTION("""COMPUTED_VALUE"""),"https://www.goodreads.com/book/show/60192737-pen-pal?ref=nav_sb_ss_1_12")</f>
        <v>https://www.goodreads.com/book/show/60192737-pen-pal?ref=nav_sb_ss_1_12</v>
      </c>
    </row>
    <row r="108">
      <c r="A108" s="16">
        <f>IFERROR(__xludf.DUMMYFUNCTION("""COMPUTED_VALUE"""),45077.80907818287)</f>
        <v>45077.80908</v>
      </c>
      <c r="B108" s="13" t="str">
        <f>IFERROR(__xludf.DUMMYFUNCTION("""COMPUTED_VALUE"""),"Add new entry")</f>
        <v>Add new entry</v>
      </c>
      <c r="C108" s="17" t="str">
        <f>IFERROR(__xludf.DUMMYFUNCTION("""COMPUTED_VALUE"""),"Liars Like Us")</f>
        <v>Liars Like Us</v>
      </c>
      <c r="D108" s="18" t="str">
        <f>IFERROR(__xludf.DUMMYFUNCTION("""COMPUTED_VALUE"""),"JT Geissinger")</f>
        <v>JT Geissinger</v>
      </c>
      <c r="E108" s="18" t="str">
        <f>IFERROR(__xludf.DUMMYFUNCTION("""COMPUTED_VALUE"""),"M/F")</f>
        <v>M/F</v>
      </c>
      <c r="F108" s="18"/>
      <c r="G108" s="18"/>
      <c r="H108" s="18" t="str">
        <f>IFERROR(__xludf.DUMMYFUNCTION("""COMPUTED_VALUE"""),"Single POV")</f>
        <v>Single POV</v>
      </c>
      <c r="I108" s="18" t="str">
        <f>IFERROR(__xludf.DUMMYFUNCTION("""COMPUTED_VALUE"""),"Contemporary, Dark, Erotic Romance")</f>
        <v>Contemporary, Dark, Erotic Romance</v>
      </c>
      <c r="J108" s="18" t="str">
        <f>IFERROR(__xludf.DUMMYFUNCTION("""COMPUTED_VALUE"""),"Antihero/Villian/Stockholm Syndrome, BDSM or Kink, Billionaires/Millionaires/Gazillionaires etc, Marriage of Convenience (or arranged marriage)")</f>
        <v>Antihero/Villian/Stockholm Syndrome, BDSM or Kink, Billionaires/Millionaires/Gazillionaires etc, Marriage of Convenience (or arranged marriage)</v>
      </c>
      <c r="K108" s="18" t="str">
        <f>IFERROR(__xludf.DUMMYFUNCTION("""COMPUTED_VALUE"""),"North America")</f>
        <v>North America</v>
      </c>
      <c r="L108" s="18" t="str">
        <f>IFERROR(__xludf.DUMMYFUNCTION("""COMPUTED_VALUE"""),"Level 5- My Kindle melted, primarily erotica")</f>
        <v>Level 5- My Kindle melted, primarily erotica</v>
      </c>
      <c r="M108" s="18" t="str">
        <f>IFERROR(__xludf.DUMMYFUNCTION("""COMPUTED_VALUE"""),"Anal sex, Bondage &amp; Restraints, Dirty Talk, Impact play (spanking etc), Oral sex - cunnilingus, Oral sex - fellatio, Pet Play, PIV sex (penis in vagina), Praise Kink, Sex Toy Play")</f>
        <v>Anal sex, Bondage &amp; Restraints, Dirty Talk, Impact play (spanking etc), Oral sex - cunnilingus, Oral sex - fellatio, Pet Play, PIV sex (penis in vagina), Praise Kink, Sex Toy Play</v>
      </c>
      <c r="N108" s="18" t="str">
        <f>IFERROR(__xludf.DUMMYFUNCTION("""COMPUTED_VALUE"""),"Series- can be read as standalones")</f>
        <v>Series- can be read as standalones</v>
      </c>
      <c r="O108" s="18"/>
      <c r="P108" s="18" t="str">
        <f>IFERROR(__xludf.DUMMYFUNCTION("""COMPUTED_VALUE"""),"Tingle, Laugh")</f>
        <v>Tingle, Laugh</v>
      </c>
      <c r="Q108" s="18"/>
      <c r="R108" s="19" t="str">
        <f>IFERROR(__xludf.DUMMYFUNCTION("""COMPUTED_VALUE"""),"No")</f>
        <v>No</v>
      </c>
      <c r="S108" s="20" t="str">
        <f>IFERROR(__xludf.DUMMYFUNCTION("""COMPUTED_VALUE"""),"https://www.goodreads.com/en/book/show/77602023")</f>
        <v>https://www.goodreads.com/en/book/show/77602023</v>
      </c>
    </row>
    <row r="109">
      <c r="A109" s="16">
        <f>IFERROR(__xludf.DUMMYFUNCTION("""COMPUTED_VALUE"""),44780.76198623842)</f>
        <v>44780.76199</v>
      </c>
      <c r="B109" s="13" t="str">
        <f>IFERROR(__xludf.DUMMYFUNCTION("""COMPUTED_VALUE"""),"Add new entry")</f>
        <v>Add new entry</v>
      </c>
      <c r="C109" s="17" t="str">
        <f>IFERROR(__xludf.DUMMYFUNCTION("""COMPUTED_VALUE"""),"Broken Wing")</f>
        <v>Broken Wing</v>
      </c>
      <c r="D109" s="18" t="str">
        <f>IFERROR(__xludf.DUMMYFUNCTION("""COMPUTED_VALUE"""),"Judith James")</f>
        <v>Judith James</v>
      </c>
      <c r="E109" s="18" t="str">
        <f>IFERROR(__xludf.DUMMYFUNCTION("""COMPUTED_VALUE"""),"M/F")</f>
        <v>M/F</v>
      </c>
      <c r="F109" s="18"/>
      <c r="G109" s="18"/>
      <c r="H109" s="18" t="str">
        <f>IFERROR(__xludf.DUMMYFUNCTION("""COMPUTED_VALUE"""),"Third person")</f>
        <v>Third person</v>
      </c>
      <c r="I109" s="18" t="str">
        <f>IFERROR(__xludf.DUMMYFUNCTION("""COMPUTED_VALUE"""),"Adventure, Historical Romance")</f>
        <v>Adventure, Historical Romance</v>
      </c>
      <c r="J109" s="18" t="str">
        <f>IFERROR(__xludf.DUMMYFUNCTION("""COMPUTED_VALUE"""),"Angst, Escort/Sex worker/Courtesan, Friends-to-lovers, Hurt/Comfort, Loner/Isolated, Nautical- Sailor/Pirate/Privateer, Wounded Hero/Heroine &amp; War Heroes/Heroines, Napoleanic Era, Hero-centric ")</f>
        <v>Angst, Escort/Sex worker/Courtesan, Friends-to-lovers, Hurt/Comfort, Loner/Isolated, Nautical- Sailor/Pirate/Privateer, Wounded Hero/Heroine &amp; War Heroes/Heroines, Napoleanic Era, Hero-centric </v>
      </c>
      <c r="K109" s="18"/>
      <c r="L109" s="18" t="str">
        <f>IFERROR(__xludf.DUMMYFUNCTION("""COMPUTED_VALUE"""),"Level 3- Sexual content in a few chapters")</f>
        <v>Level 3- Sexual content in a few chapters</v>
      </c>
      <c r="M109" s="18"/>
      <c r="N109" s="18" t="str">
        <f>IFERROR(__xludf.DUMMYFUNCTION("""COMPUTED_VALUE"""),"Standalone (not part of a series)")</f>
        <v>Standalone (not part of a series)</v>
      </c>
      <c r="O109" s="18"/>
      <c r="P109" s="18" t="str">
        <f>IFERROR(__xludf.DUMMYFUNCTION("""COMPUTED_VALUE"""),"Swoon, Feel feels, Transported")</f>
        <v>Swoon, Feel feels, Transported</v>
      </c>
      <c r="Q109" s="18" t="str">
        <f>IFERROR(__xludf.DUMMYFUNCTION("""COMPUTED_VALUE"""),"some violence against the hero ending in homicide, past emotional trauma, past child sex abuse/suicidal ideation/self-harm/cutting")</f>
        <v>some violence against the hero ending in homicide, past emotional trauma, past child sex abuse/suicidal ideation/self-harm/cutting</v>
      </c>
      <c r="R109" s="19" t="str">
        <f>IFERROR(__xludf.DUMMYFUNCTION("""COMPUTED_VALUE"""),"No")</f>
        <v>No</v>
      </c>
      <c r="S109" s="20" t="str">
        <f>IFERROR(__xludf.DUMMYFUNCTION("""COMPUTED_VALUE"""),"https://www.goodreads.com/book/show/4026396-broken-wing")</f>
        <v>https://www.goodreads.com/book/show/4026396-broken-wing</v>
      </c>
    </row>
    <row r="110">
      <c r="A110" s="16">
        <f>IFERROR(__xludf.DUMMYFUNCTION("""COMPUTED_VALUE"""),44780.76669236111)</f>
        <v>44780.76669</v>
      </c>
      <c r="B110" s="13" t="str">
        <f>IFERROR(__xludf.DUMMYFUNCTION("""COMPUTED_VALUE"""),"Add new entry")</f>
        <v>Add new entry</v>
      </c>
      <c r="C110" s="17" t="str">
        <f>IFERROR(__xludf.DUMMYFUNCTION("""COMPUTED_VALUE"""),"Libertine's Kiss")</f>
        <v>Libertine's Kiss</v>
      </c>
      <c r="D110" s="18" t="str">
        <f>IFERROR(__xludf.DUMMYFUNCTION("""COMPUTED_VALUE"""),"Judith James")</f>
        <v>Judith James</v>
      </c>
      <c r="E110" s="18" t="str">
        <f>IFERROR(__xludf.DUMMYFUNCTION("""COMPUTED_VALUE"""),"M/F")</f>
        <v>M/F</v>
      </c>
      <c r="F110" s="18"/>
      <c r="G110" s="18"/>
      <c r="H110" s="18" t="str">
        <f>IFERROR(__xludf.DUMMYFUNCTION("""COMPUTED_VALUE"""),"Dual POV")</f>
        <v>Dual POV</v>
      </c>
      <c r="I110" s="18" t="str">
        <f>IFERROR(__xludf.DUMMYFUNCTION("""COMPUTED_VALUE"""),"Historical Romance")</f>
        <v>Historical Romance</v>
      </c>
      <c r="J110" s="18" t="str">
        <f>IFERROR(__xludf.DUMMYFUNCTION("""COMPUTED_VALUE"""),"Angst, Friends-to-lovers, Rake/Player, Restoration Era")</f>
        <v>Angst, Friends-to-lovers, Rake/Player, Restoration Era</v>
      </c>
      <c r="K110" s="18"/>
      <c r="L110" s="18" t="str">
        <f>IFERROR(__xludf.DUMMYFUNCTION("""COMPUTED_VALUE"""),"Level 4- Heavy sexual content, mature audiences only")</f>
        <v>Level 4- Heavy sexual content, mature audiences only</v>
      </c>
      <c r="M110" s="18"/>
      <c r="N110" s="18"/>
      <c r="O110" s="18" t="str">
        <f>IFERROR(__xludf.DUMMYFUNCTION("""COMPUTED_VALUE"""),"Rakes and Rogues of the Restoration #1")</f>
        <v>Rakes and Rogues of the Restoration #1</v>
      </c>
      <c r="P110" s="18" t="str">
        <f>IFERROR(__xludf.DUMMYFUNCTION("""COMPUTED_VALUE"""),"Swoon, Tingle, Feel feels, Smolder, Transported")</f>
        <v>Swoon, Tingle, Feel feels, Smolder, Transported</v>
      </c>
      <c r="Q110" s="18" t="str">
        <f>IFERROR(__xludf.DUMMYFUNCTION("""COMPUTED_VALUE"""),"memories of childhood abuse, alcohol abuse")</f>
        <v>memories of childhood abuse, alcohol abuse</v>
      </c>
      <c r="R110" s="19" t="str">
        <f>IFERROR(__xludf.DUMMYFUNCTION("""COMPUTED_VALUE"""),"No")</f>
        <v>No</v>
      </c>
      <c r="S110" s="20" t="str">
        <f>IFERROR(__xludf.DUMMYFUNCTION("""COMPUTED_VALUE"""),"https://www.goodreads.com/book/show/22840237-libertine-s-kiss")</f>
        <v>https://www.goodreads.com/book/show/22840237-libertine-s-kiss</v>
      </c>
    </row>
    <row r="111">
      <c r="A111" s="16">
        <f>IFERROR(__xludf.DUMMYFUNCTION("""COMPUTED_VALUE"""),44780.77010052083)</f>
        <v>44780.7701</v>
      </c>
      <c r="B111" s="13" t="str">
        <f>IFERROR(__xludf.DUMMYFUNCTION("""COMPUTED_VALUE"""),"Add new entry")</f>
        <v>Add new entry</v>
      </c>
      <c r="C111" s="17" t="str">
        <f>IFERROR(__xludf.DUMMYFUNCTION("""COMPUTED_VALUE"""),"The Highwayman")</f>
        <v>The Highwayman</v>
      </c>
      <c r="D111" s="18" t="str">
        <f>IFERROR(__xludf.DUMMYFUNCTION("""COMPUTED_VALUE"""),"Judith James")</f>
        <v>Judith James</v>
      </c>
      <c r="E111" s="18" t="str">
        <f>IFERROR(__xludf.DUMMYFUNCTION("""COMPUTED_VALUE"""),"M/F")</f>
        <v>M/F</v>
      </c>
      <c r="F111" s="18"/>
      <c r="G111" s="18"/>
      <c r="H111" s="18"/>
      <c r="I111" s="18" t="str">
        <f>IFERROR(__xludf.DUMMYFUNCTION("""COMPUTED_VALUE"""),"Adventure, Historical Romance")</f>
        <v>Adventure, Historical Romance</v>
      </c>
      <c r="J111" s="18" t="str">
        <f>IFERROR(__xludf.DUMMYFUNCTION("""COMPUTED_VALUE"""),"Class Differences, Loner/Isolated, Mistaken or False Identity, Restoration Era, Road Trip/Travel, Slow Burn")</f>
        <v>Class Differences, Loner/Isolated, Mistaken or False Identity, Restoration Era, Road Trip/Travel, Slow Burn</v>
      </c>
      <c r="K111" s="18"/>
      <c r="L111" s="18" t="str">
        <f>IFERROR(__xludf.DUMMYFUNCTION("""COMPUTED_VALUE"""),"Level 3- Sexual content in a few chapters")</f>
        <v>Level 3- Sexual content in a few chapters</v>
      </c>
      <c r="M111" s="18"/>
      <c r="N111" s="18"/>
      <c r="O111" s="18" t="str">
        <f>IFERROR(__xludf.DUMMYFUNCTION("""COMPUTED_VALUE"""),"Rake and Rogues of the Restoration #3")</f>
        <v>Rake and Rogues of the Restoration #3</v>
      </c>
      <c r="P111" s="18" t="str">
        <f>IFERROR(__xludf.DUMMYFUNCTION("""COMPUTED_VALUE"""),"Swoon, Tingle, Feel feels, Smolder, Transported")</f>
        <v>Swoon, Tingle, Feel feels, Smolder, Transported</v>
      </c>
      <c r="Q111" s="18" t="str">
        <f>IFERROR(__xludf.DUMMYFUNCTION("""COMPUTED_VALUE"""),"memories of growing up with domestic violence, violence from the villain toward the heroine")</f>
        <v>memories of growing up with domestic violence, violence from the villain toward the heroine</v>
      </c>
      <c r="R111" s="19" t="str">
        <f>IFERROR(__xludf.DUMMYFUNCTION("""COMPUTED_VALUE"""),"No")</f>
        <v>No</v>
      </c>
      <c r="S111" s="20" t="str">
        <f>IFERROR(__xludf.DUMMYFUNCTION("""COMPUTED_VALUE"""),"https://www.goodreads.com/book/show/17947475-the-highwayman")</f>
        <v>https://www.goodreads.com/book/show/17947475-the-highwayman</v>
      </c>
    </row>
    <row r="112">
      <c r="A112" s="16">
        <f>IFERROR(__xludf.DUMMYFUNCTION("""COMPUTED_VALUE"""),45001.47975172453)</f>
        <v>45001.47975</v>
      </c>
      <c r="B112" s="13" t="str">
        <f>IFERROR(__xludf.DUMMYFUNCTION("""COMPUTED_VALUE"""),"Add new entry")</f>
        <v>Add new entry</v>
      </c>
      <c r="C112" s="17" t="str">
        <f>IFERROR(__xludf.DUMMYFUNCTION("""COMPUTED_VALUE"""),"Diana of Earth: The Prophesy Book One")</f>
        <v>Diana of Earth: The Prophesy Book One</v>
      </c>
      <c r="D112" s="18" t="str">
        <f>IFERROR(__xludf.DUMMYFUNCTION("""COMPUTED_VALUE"""),"June Claire")</f>
        <v>June Claire</v>
      </c>
      <c r="E112" s="18" t="str">
        <f>IFERROR(__xludf.DUMMYFUNCTION("""COMPUTED_VALUE"""),"M/F")</f>
        <v>M/F</v>
      </c>
      <c r="F112" s="18"/>
      <c r="G112" s="18"/>
      <c r="H112" s="18" t="str">
        <f>IFERROR(__xludf.DUMMYFUNCTION("""COMPUTED_VALUE"""),"Dual POV, Third person")</f>
        <v>Dual POV, Third person</v>
      </c>
      <c r="I112" s="18" t="str">
        <f>IFERROR(__xludf.DUMMYFUNCTION("""COMPUTED_VALUE"""),"Science Fiction &amp; Alien")</f>
        <v>Science Fiction &amp; Alien</v>
      </c>
      <c r="J112" s="18" t="str">
        <f>IFERROR(__xludf.DUMMYFUNCTION("""COMPUTED_VALUE"""),"Fated Mates, Insta-lust/Insta-love/Insta-coffee, Novella or Short Story")</f>
        <v>Fated Mates, Insta-lust/Insta-love/Insta-coffee, Novella or Short Story</v>
      </c>
      <c r="K112" s="18"/>
      <c r="L112" s="18" t="str">
        <f>IFERROR(__xludf.DUMMYFUNCTION("""COMPUTED_VALUE"""),"Level 4- Heavy sexual content, mature audiences only")</f>
        <v>Level 4- Heavy sexual content, mature audiences only</v>
      </c>
      <c r="M112" s="18" t="str">
        <f>IFERROR(__xludf.DUMMYFUNCTION("""COMPUTED_VALUE"""),"Dirty Talk")</f>
        <v>Dirty Talk</v>
      </c>
      <c r="N112" s="18" t="str">
        <f>IFERROR(__xludf.DUMMYFUNCTION("""COMPUTED_VALUE"""),"Series- can be read as standalones")</f>
        <v>Series- can be read as standalones</v>
      </c>
      <c r="O112" s="18"/>
      <c r="P112" s="18" t="str">
        <f>IFERROR(__xludf.DUMMYFUNCTION("""COMPUTED_VALUE"""),"Tingle, Dream")</f>
        <v>Tingle, Dream</v>
      </c>
      <c r="Q112" s="18"/>
      <c r="R112" s="19" t="str">
        <f>IFERROR(__xludf.DUMMYFUNCTION("""COMPUTED_VALUE"""),"No")</f>
        <v>No</v>
      </c>
      <c r="S112" s="20" t="str">
        <f>IFERROR(__xludf.DUMMYFUNCTION("""COMPUTED_VALUE"""),"https://www.goodreads.com/book/show/61862466")</f>
        <v>https://www.goodreads.com/book/show/61862466</v>
      </c>
    </row>
    <row r="113">
      <c r="A113" s="16">
        <f>IFERROR(__xludf.DUMMYFUNCTION("""COMPUTED_VALUE"""),44780.77183262731)</f>
        <v>44780.77183</v>
      </c>
      <c r="B113" s="13" t="str">
        <f>IFERROR(__xludf.DUMMYFUNCTION("""COMPUTED_VALUE"""),"Add new entry")</f>
        <v>Add new entry</v>
      </c>
      <c r="C113" s="17" t="str">
        <f>IFERROR(__xludf.DUMMYFUNCTION("""COMPUTED_VALUE"""),"Dishing Up Love")</f>
        <v>Dishing Up Love</v>
      </c>
      <c r="D113" s="18" t="str">
        <f>IFERROR(__xludf.DUMMYFUNCTION("""COMPUTED_VALUE"""),"K. D. Robichaux")</f>
        <v>K. D. Robichaux</v>
      </c>
      <c r="E113" s="18" t="str">
        <f>IFERROR(__xludf.DUMMYFUNCTION("""COMPUTED_VALUE"""),"M/F")</f>
        <v>M/F</v>
      </c>
      <c r="F113" s="18"/>
      <c r="G113" s="18"/>
      <c r="H113" s="18" t="str">
        <f>IFERROR(__xludf.DUMMYFUNCTION("""COMPUTED_VALUE"""),"Dual POV")</f>
        <v>Dual POV</v>
      </c>
      <c r="I113" s="18" t="str">
        <f>IFERROR(__xludf.DUMMYFUNCTION("""COMPUTED_VALUE"""),"Contemporary")</f>
        <v>Contemporary</v>
      </c>
      <c r="J113" s="18" t="str">
        <f>IFERROR(__xludf.DUMMYFUNCTION("""COMPUTED_VALUE"""),"Angst, Celebrities- Rock star/Actor/Model, Foodies- Chef/Baker/Bartender etc, Road Trip/Travel")</f>
        <v>Angst, Celebrities- Rock star/Actor/Model, Foodies- Chef/Baker/Bartender etc, Road Trip/Travel</v>
      </c>
      <c r="K113" s="18"/>
      <c r="L113" s="18" t="str">
        <f>IFERROR(__xludf.DUMMYFUNCTION("""COMPUTED_VALUE"""),"Level 4- Heavy sexual content, mature audiences only")</f>
        <v>Level 4- Heavy sexual content, mature audiences only</v>
      </c>
      <c r="M113" s="18"/>
      <c r="N113" s="18" t="str">
        <f>IFERROR(__xludf.DUMMYFUNCTION("""COMPUTED_VALUE"""),"Standalone (not part of a series)")</f>
        <v>Standalone (not part of a series)</v>
      </c>
      <c r="O113" s="18"/>
      <c r="P113" s="18" t="str">
        <f>IFERROR(__xludf.DUMMYFUNCTION("""COMPUTED_VALUE"""),"Swoon, Tingle, Laugh, Cry, Feel feels, Transported")</f>
        <v>Swoon, Tingle, Laugh, Cry, Feel feels, Transported</v>
      </c>
      <c r="Q113" s="18" t="str">
        <f>IFERROR(__xludf.DUMMYFUNCTION("""COMPUTED_VALUE"""),"Infertility")</f>
        <v>Infertility</v>
      </c>
      <c r="R113" s="19" t="str">
        <f>IFERROR(__xludf.DUMMYFUNCTION("""COMPUTED_VALUE"""),"No")</f>
        <v>No</v>
      </c>
      <c r="S113" s="20" t="str">
        <f>IFERROR(__xludf.DUMMYFUNCTION("""COMPUTED_VALUE"""),"https://www.goodreads.com/book/show/53337011-dishing-up-love")</f>
        <v>https://www.goodreads.com/book/show/53337011-dishing-up-love</v>
      </c>
    </row>
    <row r="114">
      <c r="A114" s="16">
        <f>IFERROR(__xludf.DUMMYFUNCTION("""COMPUTED_VALUE"""),45089.23865989583)</f>
        <v>45089.23866</v>
      </c>
      <c r="B114" s="13" t="str">
        <f>IFERROR(__xludf.DUMMYFUNCTION("""COMPUTED_VALUE"""),"Add new entry")</f>
        <v>Add new entry</v>
      </c>
      <c r="C114" s="17" t="str">
        <f>IFERROR(__xludf.DUMMYFUNCTION("""COMPUTED_VALUE"""),"Den of Vipers")</f>
        <v>Den of Vipers</v>
      </c>
      <c r="D114" s="18" t="str">
        <f>IFERROR(__xludf.DUMMYFUNCTION("""COMPUTED_VALUE"""),"KA Knight ")</f>
        <v>KA Knight </v>
      </c>
      <c r="E114" s="18" t="str">
        <f>IFERROR(__xludf.DUMMYFUNCTION("""COMPUTED_VALUE"""),"M/F")</f>
        <v>M/F</v>
      </c>
      <c r="F114" s="18"/>
      <c r="G114" s="18"/>
      <c r="H114" s="18" t="str">
        <f>IFERROR(__xludf.DUMMYFUNCTION("""COMPUTED_VALUE"""),"Dual POV")</f>
        <v>Dual POV</v>
      </c>
      <c r="I114" s="18" t="str">
        <f>IFERROR(__xludf.DUMMYFUNCTION("""COMPUTED_VALUE"""),"Dark, Erotic Romance, Polyamorous, Romantic Suspense")</f>
        <v>Dark, Erotic Romance, Polyamorous, Romantic Suspense</v>
      </c>
      <c r="J114" s="18" t="str">
        <f>IFERROR(__xludf.DUMMYFUNCTION("""COMPUTED_VALUE"""),"Antihero/Villian/Stockholm Syndrome, Angel &amp; Demon etc, BDSM or Kink, Enemies-to-lovers (or dislike-to-love)")</f>
        <v>Antihero/Villian/Stockholm Syndrome, Angel &amp; Demon etc, BDSM or Kink, Enemies-to-lovers (or dislike-to-love)</v>
      </c>
      <c r="K114" s="18"/>
      <c r="L114" s="18" t="str">
        <f>IFERROR(__xludf.DUMMYFUNCTION("""COMPUTED_VALUE"""),"Level 5- My Kindle melted, primarily erotica")</f>
        <v>Level 5- My Kindle melted, primarily erotica</v>
      </c>
      <c r="M114" s="18" t="str">
        <f>IFERROR(__xludf.DUMMYFUNCTION("""COMPUTED_VALUE"""),"Anal sex, Blood Play, Bondage &amp; Restraints, Breath Play (eg.choking), Dirty Talk, Dom/Sub, Humiliation Kink, Knife Play, Oral sex - cunnilingus")</f>
        <v>Anal sex, Blood Play, Bondage &amp; Restraints, Breath Play (eg.choking), Dirty Talk, Dom/Sub, Humiliation Kink, Knife Play, Oral sex - cunnilingus</v>
      </c>
      <c r="N114" s="18" t="str">
        <f>IFERROR(__xludf.DUMMYFUNCTION("""COMPUTED_VALUE"""),"Standalone (not part of a series)")</f>
        <v>Standalone (not part of a series)</v>
      </c>
      <c r="O114" s="18"/>
      <c r="P114" s="18" t="str">
        <f>IFERROR(__xludf.DUMMYFUNCTION("""COMPUTED_VALUE"""),"Swoon, Tingle, Laugh, Dream, Smolder")</f>
        <v>Swoon, Tingle, Laugh, Dream, Smolder</v>
      </c>
      <c r="Q114" s="18"/>
      <c r="R114" s="19" t="str">
        <f>IFERROR(__xludf.DUMMYFUNCTION("""COMPUTED_VALUE"""),"No")</f>
        <v>No</v>
      </c>
      <c r="S114" s="20" t="str">
        <f>IFERROR(__xludf.DUMMYFUNCTION("""COMPUTED_VALUE"""),"https://www.goodreads.com/book/show/53544752-den-of-vipers")</f>
        <v>https://www.goodreads.com/book/show/53544752-den-of-vipers</v>
      </c>
    </row>
    <row r="115">
      <c r="A115" s="16">
        <f>IFERROR(__xludf.DUMMYFUNCTION("""COMPUTED_VALUE"""),44780.77435717593)</f>
        <v>44780.77436</v>
      </c>
      <c r="B115" s="13" t="str">
        <f>IFERROR(__xludf.DUMMYFUNCTION("""COMPUTED_VALUE"""),"Add new entry")</f>
        <v>Add new entry</v>
      </c>
      <c r="C115" s="17" t="str">
        <f>IFERROR(__xludf.DUMMYFUNCTION("""COMPUTED_VALUE"""),"The Swedish Prince")</f>
        <v>The Swedish Prince</v>
      </c>
      <c r="D115" s="18" t="str">
        <f>IFERROR(__xludf.DUMMYFUNCTION("""COMPUTED_VALUE"""),"Karina Halle")</f>
        <v>Karina Halle</v>
      </c>
      <c r="E115" s="18" t="str">
        <f>IFERROR(__xludf.DUMMYFUNCTION("""COMPUTED_VALUE"""),"M/F")</f>
        <v>M/F</v>
      </c>
      <c r="F115" s="18"/>
      <c r="G115" s="18"/>
      <c r="H115" s="18"/>
      <c r="I115" s="18" t="str">
        <f>IFERROR(__xludf.DUMMYFUNCTION("""COMPUTED_VALUE"""),"Contemporary")</f>
        <v>Contemporary</v>
      </c>
      <c r="J115" s="18" t="str">
        <f>IFERROR(__xludf.DUMMYFUNCTION("""COMPUTED_VALUE"""),"Class Differences, Royalty")</f>
        <v>Class Differences, Royalty</v>
      </c>
      <c r="K115" s="18"/>
      <c r="L115" s="18" t="str">
        <f>IFERROR(__xludf.DUMMYFUNCTION("""COMPUTED_VALUE"""),"Level 4- Heavy sexual content, mature audiences only")</f>
        <v>Level 4- Heavy sexual content, mature audiences only</v>
      </c>
      <c r="M115" s="18"/>
      <c r="N115" s="18"/>
      <c r="O115" s="18" t="str">
        <f>IFERROR(__xludf.DUMMYFUNCTION("""COMPUTED_VALUE"""),"Nordic Royals #1")</f>
        <v>Nordic Royals #1</v>
      </c>
      <c r="P115" s="18" t="str">
        <f>IFERROR(__xludf.DUMMYFUNCTION("""COMPUTED_VALUE"""),"Swoon, Laugh, Cry")</f>
        <v>Swoon, Laugh, Cry</v>
      </c>
      <c r="Q115" s="18"/>
      <c r="R115" s="19" t="str">
        <f>IFERROR(__xludf.DUMMYFUNCTION("""COMPUTED_VALUE"""),"No")</f>
        <v>No</v>
      </c>
      <c r="S115" s="20" t="str">
        <f>IFERROR(__xludf.DUMMYFUNCTION("""COMPUTED_VALUE"""),"https://www.goodreads.com/book/show/38659522-the-swedish-prince")</f>
        <v>https://www.goodreads.com/book/show/38659522-the-swedish-prince</v>
      </c>
    </row>
    <row r="116">
      <c r="A116" s="16">
        <f>IFERROR(__xludf.DUMMYFUNCTION("""COMPUTED_VALUE"""),45007.30688812501)</f>
        <v>45007.30689</v>
      </c>
      <c r="B116" s="13" t="str">
        <f>IFERROR(__xludf.DUMMYFUNCTION("""COMPUTED_VALUE"""),"Add new entry")</f>
        <v>Add new entry</v>
      </c>
      <c r="C116" s="17" t="str">
        <f>IFERROR(__xludf.DUMMYFUNCTION("""COMPUTED_VALUE"""),"Forget Me Not")</f>
        <v>Forget Me Not</v>
      </c>
      <c r="D116" s="18" t="str">
        <f>IFERROR(__xludf.DUMMYFUNCTION("""COMPUTED_VALUE"""),"Karissa Kinword")</f>
        <v>Karissa Kinword</v>
      </c>
      <c r="E116" s="18" t="str">
        <f>IFERROR(__xludf.DUMMYFUNCTION("""COMPUTED_VALUE"""),"M/F")</f>
        <v>M/F</v>
      </c>
      <c r="F116" s="18"/>
      <c r="G116" s="18" t="str">
        <f>IFERROR(__xludf.DUMMYFUNCTION("""COMPUTED_VALUE"""),"FMC is in her late 20's, MMC in his 30's; MMC has shaggy brown curly hair, heterochromia, is bookish and quiet. FMC has medium length blonde hair, a cautious personality.")</f>
        <v>FMC is in her late 20's, MMC in his 30's; MMC has shaggy brown curly hair, heterochromia, is bookish and quiet. FMC has medium length blonde hair, a cautious personality.</v>
      </c>
      <c r="H116" s="18" t="str">
        <f>IFERROR(__xludf.DUMMYFUNCTION("""COMPUTED_VALUE"""),"First person omniscient ")</f>
        <v>First person omniscient </v>
      </c>
      <c r="I116" s="18" t="str">
        <f>IFERROR(__xludf.DUMMYFUNCTION("""COMPUTED_VALUE"""),"Erotic Romance, Science Fiction &amp; Alien")</f>
        <v>Erotic Romance, Science Fiction &amp; Alien</v>
      </c>
      <c r="J116" s="18" t="str">
        <f>IFERROR(__xludf.DUMMYFUNCTION("""COMPUTED_VALUE"""),"Fated Mates, Forced Proximity, Loner/Isolated, dream lovers")</f>
        <v>Fated Mates, Forced Proximity, Loner/Isolated, dream lovers</v>
      </c>
      <c r="K116" s="18" t="str">
        <f>IFERROR(__xludf.DUMMYFUNCTION("""COMPUTED_VALUE"""),"futuristic universe, Earth no longer exists")</f>
        <v>futuristic universe, Earth no longer exists</v>
      </c>
      <c r="L116" s="18" t="str">
        <f>IFERROR(__xludf.DUMMYFUNCTION("""COMPUTED_VALUE"""),"Level 4- Heavy sexual content, mature audiences only")</f>
        <v>Level 4- Heavy sexual content, mature audiences only</v>
      </c>
      <c r="M116" s="18" t="str">
        <f>IFERROR(__xludf.DUMMYFUNCTION("""COMPUTED_VALUE"""),"Dirty Talk, Oral sex - cunnilingus, Oral sex - fellatio, PIV sex (penis in vagina), Praise Kink, Somnophilia")</f>
        <v>Dirty Talk, Oral sex - cunnilingus, Oral sex - fellatio, PIV sex (penis in vagina), Praise Kink, Somnophilia</v>
      </c>
      <c r="N116" s="18" t="str">
        <f>IFERROR(__xludf.DUMMYFUNCTION("""COMPUTED_VALUE"""),"Standalone (not part of a series)")</f>
        <v>Standalone (not part of a series)</v>
      </c>
      <c r="O116" s="18"/>
      <c r="P116" s="18" t="str">
        <f>IFERROR(__xludf.DUMMYFUNCTION("""COMPUTED_VALUE"""),"Swoon, Tingle, Laugh, Cry, Feel feels, Dream, Smolder, Learn, Inspired, Transported")</f>
        <v>Swoon, Tingle, Laugh, Cry, Feel feels, Dream, Smolder, Learn, Inspired, Transported</v>
      </c>
      <c r="Q116" s="18" t="str">
        <f>IFERROR(__xludf.DUMMYFUNCTION("""COMPUTED_VALUE"""),"Gaslighting, drug use, explicit sex, emotional infidelity (according to author's note), graphic violence")</f>
        <v>Gaslighting, drug use, explicit sex, emotional infidelity (according to author's note), graphic violence</v>
      </c>
      <c r="R116" s="19" t="str">
        <f>IFERROR(__xludf.DUMMYFUNCTION("""COMPUTED_VALUE"""),"Yes")</f>
        <v>Yes</v>
      </c>
      <c r="S116" s="20" t="str">
        <f>IFERROR(__xludf.DUMMYFUNCTION("""COMPUTED_VALUE"""),"https://www.goodreads.com/book/show/60884178-forget-me-not?ac=1&amp;from_search=true&amp;qid=hbsjDbrfyR&amp;rank=1")</f>
        <v>https://www.goodreads.com/book/show/60884178-forget-me-not?ac=1&amp;from_search=true&amp;qid=hbsjDbrfyR&amp;rank=1</v>
      </c>
    </row>
    <row r="117">
      <c r="A117" s="16">
        <f>IFERROR(__xludf.DUMMYFUNCTION("""COMPUTED_VALUE"""),44780.776962372685)</f>
        <v>44780.77696</v>
      </c>
      <c r="B117" s="13" t="str">
        <f>IFERROR(__xludf.DUMMYFUNCTION("""COMPUTED_VALUE"""),"Add new entry")</f>
        <v>Add new entry</v>
      </c>
      <c r="C117" s="17" t="str">
        <f>IFERROR(__xludf.DUMMYFUNCTION("""COMPUTED_VALUE"""),"Underneath It All")</f>
        <v>Underneath It All</v>
      </c>
      <c r="D117" s="18" t="str">
        <f>IFERROR(__xludf.DUMMYFUNCTION("""COMPUTED_VALUE"""),"Kate Canterbary")</f>
        <v>Kate Canterbary</v>
      </c>
      <c r="E117" s="18" t="str">
        <f>IFERROR(__xludf.DUMMYFUNCTION("""COMPUTED_VALUE"""),"M/F")</f>
        <v>M/F</v>
      </c>
      <c r="F117" s="18"/>
      <c r="G117" s="18"/>
      <c r="H117" s="18" t="str">
        <f>IFERROR(__xludf.DUMMYFUNCTION("""COMPUTED_VALUE"""),"Dual POV, First person")</f>
        <v>Dual POV, First person</v>
      </c>
      <c r="I117" s="18" t="str">
        <f>IFERROR(__xludf.DUMMYFUNCTION("""COMPUTED_VALUE"""),"Contemporary")</f>
        <v>Contemporary</v>
      </c>
      <c r="J117" s="18" t="str">
        <f>IFERROR(__xludf.DUMMYFUNCTION("""COMPUTED_VALUE"""),"Coworkers or Colleagues, Insta-lust/Insta-love/Insta-coffee, Opposites Attract, Teacher/Writer/Librarian")</f>
        <v>Coworkers or Colleagues, Insta-lust/Insta-love/Insta-coffee, Opposites Attract, Teacher/Writer/Librarian</v>
      </c>
      <c r="K117" s="18"/>
      <c r="L117" s="18" t="str">
        <f>IFERROR(__xludf.DUMMYFUNCTION("""COMPUTED_VALUE"""),"Level 4- Heavy sexual content, mature audiences only")</f>
        <v>Level 4- Heavy sexual content, mature audiences only</v>
      </c>
      <c r="M117" s="18"/>
      <c r="N117" s="18"/>
      <c r="O117" s="18" t="str">
        <f>IFERROR(__xludf.DUMMYFUNCTION("""COMPUTED_VALUE"""),"The Walshes #1")</f>
        <v>The Walshes #1</v>
      </c>
      <c r="P117" s="18" t="str">
        <f>IFERROR(__xludf.DUMMYFUNCTION("""COMPUTED_VALUE"""),"Swoon, Tingle, Laugh, Cry, Feel feels, Smolder, Inspired")</f>
        <v>Swoon, Tingle, Laugh, Cry, Feel feels, Smolder, Inspired</v>
      </c>
      <c r="Q117" s="18" t="str">
        <f>IFERROR(__xludf.DUMMYFUNCTION("""COMPUTED_VALUE"""),"Past domestic abuse")</f>
        <v>Past domestic abuse</v>
      </c>
      <c r="R117" s="19" t="str">
        <f>IFERROR(__xludf.DUMMYFUNCTION("""COMPUTED_VALUE"""),"No")</f>
        <v>No</v>
      </c>
      <c r="S117" s="20" t="str">
        <f>IFERROR(__xludf.DUMMYFUNCTION("""COMPUTED_VALUE"""),"https://www.goodreads.com/book/show/23486111-underneath-it-all")</f>
        <v>https://www.goodreads.com/book/show/23486111-underneath-it-all</v>
      </c>
    </row>
    <row r="118">
      <c r="A118" s="16">
        <f>IFERROR(__xludf.DUMMYFUNCTION("""COMPUTED_VALUE"""),44780.779538738425)</f>
        <v>44780.77954</v>
      </c>
      <c r="B118" s="13" t="str">
        <f>IFERROR(__xludf.DUMMYFUNCTION("""COMPUTED_VALUE"""),"Add new entry")</f>
        <v>Add new entry</v>
      </c>
      <c r="C118" s="17" t="str">
        <f>IFERROR(__xludf.DUMMYFUNCTION("""COMPUTED_VALUE"""),"Fresh Catch")</f>
        <v>Fresh Catch</v>
      </c>
      <c r="D118" s="18" t="str">
        <f>IFERROR(__xludf.DUMMYFUNCTION("""COMPUTED_VALUE"""),"Kate Canterbary")</f>
        <v>Kate Canterbary</v>
      </c>
      <c r="E118" s="18" t="str">
        <f>IFERROR(__xludf.DUMMYFUNCTION("""COMPUTED_VALUE"""),"M/M")</f>
        <v>M/M</v>
      </c>
      <c r="F118" s="18" t="str">
        <f>IFERROR(__xludf.DUMMYFUNCTION("""COMPUTED_VALUE"""),"LGBTQIA+ &amp; GSM (Gender and Sexual Minorities)")</f>
        <v>LGBTQIA+ &amp; GSM (Gender and Sexual Minorities)</v>
      </c>
      <c r="G118" s="18"/>
      <c r="H118" s="18"/>
      <c r="I118" s="18" t="str">
        <f>IFERROR(__xludf.DUMMYFUNCTION("""COMPUTED_VALUE"""),"Contemporary")</f>
        <v>Contemporary</v>
      </c>
      <c r="J118" s="18" t="str">
        <f>IFERROR(__xludf.DUMMYFUNCTION("""COMPUTED_VALUE"""),"Age Difference, Billionaires/Millionaires/Gazillionaires etc, Blue Collar/Farmer/Rancher etc, Class Differences, Forced Proximity, Geek/Nerd/Misfit/Genius, Insta-lust/Insta-love/Insta-coffee, Opposites Attract, Outdoorsy- forest/hiking/camping etc, Road T"&amp;"rip/Travel")</f>
        <v>Age Difference, Billionaires/Millionaires/Gazillionaires etc, Blue Collar/Farmer/Rancher etc, Class Differences, Forced Proximity, Geek/Nerd/Misfit/Genius, Insta-lust/Insta-love/Insta-coffee, Opposites Attract, Outdoorsy- forest/hiking/camping etc, Road Trip/Travel</v>
      </c>
      <c r="K118" s="18"/>
      <c r="L118" s="18" t="str">
        <f>IFERROR(__xludf.DUMMYFUNCTION("""COMPUTED_VALUE"""),"Level 4- Heavy sexual content, mature audiences only")</f>
        <v>Level 4- Heavy sexual content, mature audiences only</v>
      </c>
      <c r="M118" s="18"/>
      <c r="N118" s="18"/>
      <c r="O118" s="18" t="str">
        <f>IFERROR(__xludf.DUMMYFUNCTION("""COMPUTED_VALUE"""),"Talbott's Cove #1")</f>
        <v>Talbott's Cove #1</v>
      </c>
      <c r="P118" s="18" t="str">
        <f>IFERROR(__xludf.DUMMYFUNCTION("""COMPUTED_VALUE"""),"Laugh, Smolder, Inspired, Transported")</f>
        <v>Laugh, Smolder, Inspired, Transported</v>
      </c>
      <c r="Q118" s="18"/>
      <c r="R118" s="19" t="str">
        <f>IFERROR(__xludf.DUMMYFUNCTION("""COMPUTED_VALUE"""),"No")</f>
        <v>No</v>
      </c>
      <c r="S118" s="20" t="str">
        <f>IFERROR(__xludf.DUMMYFUNCTION("""COMPUTED_VALUE"""),"https://www.goodreads.com/book/show/35919933-fresh-catch")</f>
        <v>https://www.goodreads.com/book/show/35919933-fresh-catch</v>
      </c>
    </row>
    <row r="119">
      <c r="A119" s="16">
        <f>IFERROR(__xludf.DUMMYFUNCTION("""COMPUTED_VALUE"""),44780.84436454862)</f>
        <v>44780.84436</v>
      </c>
      <c r="B119" s="13" t="str">
        <f>IFERROR(__xludf.DUMMYFUNCTION("""COMPUTED_VALUE"""),"Add new entry")</f>
        <v>Add new entry</v>
      </c>
      <c r="C119" s="17" t="str">
        <f>IFERROR(__xludf.DUMMYFUNCTION("""COMPUTED_VALUE"""),"Hard Pressed")</f>
        <v>Hard Pressed</v>
      </c>
      <c r="D119" s="18" t="str">
        <f>IFERROR(__xludf.DUMMYFUNCTION("""COMPUTED_VALUE"""),"Kate Canterbary")</f>
        <v>Kate Canterbary</v>
      </c>
      <c r="E119" s="18" t="str">
        <f>IFERROR(__xludf.DUMMYFUNCTION("""COMPUTED_VALUE"""),"M/F")</f>
        <v>M/F</v>
      </c>
      <c r="F119" s="18"/>
      <c r="G119" s="18"/>
      <c r="H119" s="18" t="str">
        <f>IFERROR(__xludf.DUMMYFUNCTION("""COMPUTED_VALUE"""),"Dual POV, First person")</f>
        <v>Dual POV, First person</v>
      </c>
      <c r="I119" s="18" t="str">
        <f>IFERROR(__xludf.DUMMYFUNCTION("""COMPUTED_VALUE"""),"Contemporary")</f>
        <v>Contemporary</v>
      </c>
      <c r="J119" s="18" t="str">
        <f>IFERROR(__xludf.DUMMYFUNCTION("""COMPUTED_VALUE"""),"First Responders- Firefighter/Police etc, Insta-lust/Insta-love/Insta-coffee, Small Town, Sweet MC- beta hero/kindhearted heroine/etc")</f>
        <v>First Responders- Firefighter/Police etc, Insta-lust/Insta-love/Insta-coffee, Small Town, Sweet MC- beta hero/kindhearted heroine/etc</v>
      </c>
      <c r="K119" s="18"/>
      <c r="L119" s="18" t="str">
        <f>IFERROR(__xludf.DUMMYFUNCTION("""COMPUTED_VALUE"""),"Level 4- Heavy sexual content, mature audiences only")</f>
        <v>Level 4- Heavy sexual content, mature audiences only</v>
      </c>
      <c r="M119" s="18"/>
      <c r="N119" s="18" t="str">
        <f>IFERROR(__xludf.DUMMYFUNCTION("""COMPUTED_VALUE"""),"Series- can be read as standalones")</f>
        <v>Series- can be read as standalones</v>
      </c>
      <c r="O119" s="18" t="str">
        <f>IFERROR(__xludf.DUMMYFUNCTION("""COMPUTED_VALUE"""),"Talbot's Cove #2")</f>
        <v>Talbot's Cove #2</v>
      </c>
      <c r="P119" s="18" t="str">
        <f>IFERROR(__xludf.DUMMYFUNCTION("""COMPUTED_VALUE"""),"Swoon, Laugh, Rage, Smolder")</f>
        <v>Swoon, Laugh, Rage, Smolder</v>
      </c>
      <c r="Q119" s="18"/>
      <c r="R119" s="19" t="str">
        <f>IFERROR(__xludf.DUMMYFUNCTION("""COMPUTED_VALUE"""),"No")</f>
        <v>No</v>
      </c>
      <c r="S119" s="20" t="str">
        <f>IFERROR(__xludf.DUMMYFUNCTION("""COMPUTED_VALUE"""),"https://www.goodreads.com/book/show/40311534-hard-pressed")</f>
        <v>https://www.goodreads.com/book/show/40311534-hard-pressed</v>
      </c>
    </row>
    <row r="120">
      <c r="A120" s="16">
        <f>IFERROR(__xludf.DUMMYFUNCTION("""COMPUTED_VALUE"""),44780.853422581014)</f>
        <v>44780.85342</v>
      </c>
      <c r="B120" s="13" t="str">
        <f>IFERROR(__xludf.DUMMYFUNCTION("""COMPUTED_VALUE"""),"Add new entry")</f>
        <v>Add new entry</v>
      </c>
      <c r="C120" s="17" t="str">
        <f>IFERROR(__xludf.DUMMYFUNCTION("""COMPUTED_VALUE"""),"Beginner's Luck")</f>
        <v>Beginner's Luck</v>
      </c>
      <c r="D120" s="18" t="str">
        <f>IFERROR(__xludf.DUMMYFUNCTION("""COMPUTED_VALUE"""),"Kate Clayborn")</f>
        <v>Kate Clayborn</v>
      </c>
      <c r="E120" s="18" t="str">
        <f>IFERROR(__xludf.DUMMYFUNCTION("""COMPUTED_VALUE"""),"M/F")</f>
        <v>M/F</v>
      </c>
      <c r="F120" s="18" t="str">
        <f>IFERROR(__xludf.DUMMYFUNCTION("""COMPUTED_VALUE"""),"Neurodivergent (Autism, ADHD, dyspraxia, dyslexia, etc)")</f>
        <v>Neurodivergent (Autism, ADHD, dyspraxia, dyslexia, etc)</v>
      </c>
      <c r="G120" s="18" t="str">
        <f>IFERROR(__xludf.DUMMYFUNCTION("""COMPUTED_VALUE"""),"MMC has ADHD")</f>
        <v>MMC has ADHD</v>
      </c>
      <c r="H120" s="18" t="str">
        <f>IFERROR(__xludf.DUMMYFUNCTION("""COMPUTED_VALUE"""),"Dual POV, First person")</f>
        <v>Dual POV, First person</v>
      </c>
      <c r="I120" s="18" t="str">
        <f>IFERROR(__xludf.DUMMYFUNCTION("""COMPUTED_VALUE"""),"Contemporary")</f>
        <v>Contemporary</v>
      </c>
      <c r="J120" s="18" t="str">
        <f>IFERROR(__xludf.DUMMYFUNCTION("""COMPUTED_VALUE"""),"Enemies-to-lovers (or dislike-to-love), Geek/Nerd/Misfit/Genius, Small Town")</f>
        <v>Enemies-to-lovers (or dislike-to-love), Geek/Nerd/Misfit/Genius, Small Town</v>
      </c>
      <c r="K120" s="18"/>
      <c r="L120" s="18" t="str">
        <f>IFERROR(__xludf.DUMMYFUNCTION("""COMPUTED_VALUE"""),"Level 3- Sexual content in a few chapters")</f>
        <v>Level 3- Sexual content in a few chapters</v>
      </c>
      <c r="M120" s="18"/>
      <c r="N120" s="18" t="str">
        <f>IFERROR(__xludf.DUMMYFUNCTION("""COMPUTED_VALUE"""),"Series- can be read as standalones")</f>
        <v>Series- can be read as standalones</v>
      </c>
      <c r="O120" s="18" t="str">
        <f>IFERROR(__xludf.DUMMYFUNCTION("""COMPUTED_VALUE"""),"Chance of a Lifetime #1")</f>
        <v>Chance of a Lifetime #1</v>
      </c>
      <c r="P120" s="18" t="str">
        <f>IFERROR(__xludf.DUMMYFUNCTION("""COMPUTED_VALUE"""),"Swoon, Tingle, Feel feels, Smolder")</f>
        <v>Swoon, Tingle, Feel feels, Smolder</v>
      </c>
      <c r="Q120" s="18"/>
      <c r="R120" s="19" t="str">
        <f>IFERROR(__xludf.DUMMYFUNCTION("""COMPUTED_VALUE"""),"No")</f>
        <v>No</v>
      </c>
      <c r="S120" s="20" t="str">
        <f>IFERROR(__xludf.DUMMYFUNCTION("""COMPUTED_VALUE"""),"https://www.goodreads.com/book/show/35717661-beginner-s-luck")</f>
        <v>https://www.goodreads.com/book/show/35717661-beginner-s-luck</v>
      </c>
    </row>
    <row r="121">
      <c r="A121" s="16">
        <f>IFERROR(__xludf.DUMMYFUNCTION("""COMPUTED_VALUE"""),44887.80434879629)</f>
        <v>44887.80435</v>
      </c>
      <c r="B121" s="13" t="str">
        <f>IFERROR(__xludf.DUMMYFUNCTION("""COMPUTED_VALUE"""),"Add new entry")</f>
        <v>Add new entry</v>
      </c>
      <c r="C121" s="17" t="str">
        <f>IFERROR(__xludf.DUMMYFUNCTION("""COMPUTED_VALUE"""),"The Orc From the Office ")</f>
        <v>The Orc From the Office </v>
      </c>
      <c r="D121" s="18" t="str">
        <f>IFERROR(__xludf.DUMMYFUNCTION("""COMPUTED_VALUE"""),"Kate Prior ")</f>
        <v>Kate Prior </v>
      </c>
      <c r="E121" s="18" t="str">
        <f>IFERROR(__xludf.DUMMYFUNCTION("""COMPUTED_VALUE"""),"M/F")</f>
        <v>M/F</v>
      </c>
      <c r="F121" s="18"/>
      <c r="G121" s="18"/>
      <c r="H121" s="18"/>
      <c r="I121" s="18" t="str">
        <f>IFERROR(__xludf.DUMMYFUNCTION("""COMPUTED_VALUE"""),"Fantasy, Paranormal, Romantic Comedy")</f>
        <v>Fantasy, Paranormal, Romantic Comedy</v>
      </c>
      <c r="J121" s="18" t="str">
        <f>IFERROR(__xludf.DUMMYFUNCTION("""COMPUTED_VALUE"""),"Coworkers or Colleagues, Creatures or Monsters- Dragon/Orc/Fae/etc, Geek/Nerd/Misfit/Genius, Insta-lust/Insta-love/Insta-coffee, Sweet MC- beta hero/kindhearted heroine/etc")</f>
        <v>Coworkers or Colleagues, Creatures or Monsters- Dragon/Orc/Fae/etc, Geek/Nerd/Misfit/Genius, Insta-lust/Insta-love/Insta-coffee, Sweet MC- beta hero/kindhearted heroine/etc</v>
      </c>
      <c r="K121" s="18" t="str">
        <f>IFERROR(__xludf.DUMMYFUNCTION("""COMPUTED_VALUE"""),"Imaginary")</f>
        <v>Imaginary</v>
      </c>
      <c r="L121" s="18" t="str">
        <f>IFERROR(__xludf.DUMMYFUNCTION("""COMPUTED_VALUE"""),"Level 4- Heavy sexual content, mature audiences only")</f>
        <v>Level 4- Heavy sexual content, mature audiences only</v>
      </c>
      <c r="M121" s="18" t="str">
        <f>IFERROR(__xludf.DUMMYFUNCTION("""COMPUTED_VALUE"""),"Oral sex - cunnilingus, PIV sex (penis in vagina)")</f>
        <v>Oral sex - cunnilingus, PIV sex (penis in vagina)</v>
      </c>
      <c r="N121" s="18" t="str">
        <f>IFERROR(__xludf.DUMMYFUNCTION("""COMPUTED_VALUE"""),"Series- can be read as standalones")</f>
        <v>Series- can be read as standalones</v>
      </c>
      <c r="O121" s="18" t="str">
        <f>IFERROR(__xludf.DUMMYFUNCTION("""COMPUTED_VALUE"""),"Claws &amp; Cubicles ")</f>
        <v>Claws &amp; Cubicles </v>
      </c>
      <c r="P121" s="18" t="str">
        <f>IFERROR(__xludf.DUMMYFUNCTION("""COMPUTED_VALUE"""),"Tingle, Laugh, Smolder")</f>
        <v>Tingle, Laugh, Smolder</v>
      </c>
      <c r="Q121" s="18" t="str">
        <f>IFERROR(__xludf.DUMMYFUNCTION("""COMPUTED_VALUE"""),"Dub con?")</f>
        <v>Dub con?</v>
      </c>
      <c r="R121" s="19" t="str">
        <f>IFERROR(__xludf.DUMMYFUNCTION("""COMPUTED_VALUE"""),"No")</f>
        <v>No</v>
      </c>
      <c r="S121" s="20" t="str">
        <f>IFERROR(__xludf.DUMMYFUNCTION("""COMPUTED_VALUE"""),"https://www.goodreads.com/book/show/61881902-the-orc-from-the-office")</f>
        <v>https://www.goodreads.com/book/show/61881902-the-orc-from-the-office</v>
      </c>
    </row>
    <row r="122">
      <c r="A122" s="16">
        <f>IFERROR(__xludf.DUMMYFUNCTION("""COMPUTED_VALUE"""),44887.807094675925)</f>
        <v>44887.80709</v>
      </c>
      <c r="B122" s="13" t="str">
        <f>IFERROR(__xludf.DUMMYFUNCTION("""COMPUTED_VALUE"""),"Add new entry")</f>
        <v>Add new entry</v>
      </c>
      <c r="C122" s="17" t="str">
        <f>IFERROR(__xludf.DUMMYFUNCTION("""COMPUTED_VALUE"""),"Love, Laugh, Lich ")</f>
        <v>Love, Laugh, Lich </v>
      </c>
      <c r="D122" s="18" t="str">
        <f>IFERROR(__xludf.DUMMYFUNCTION("""COMPUTED_VALUE"""),"Kate Prior ")</f>
        <v>Kate Prior </v>
      </c>
      <c r="E122" s="18" t="str">
        <f>IFERROR(__xludf.DUMMYFUNCTION("""COMPUTED_VALUE"""),"M/F")</f>
        <v>M/F</v>
      </c>
      <c r="F122" s="18"/>
      <c r="G122" s="18"/>
      <c r="H122" s="18"/>
      <c r="I122" s="18" t="str">
        <f>IFERROR(__xludf.DUMMYFUNCTION("""COMPUTED_VALUE"""),"Erotic Romance, Fantasy, Paranormal, Romantic Comedy")</f>
        <v>Erotic Romance, Fantasy, Paranormal, Romantic Comedy</v>
      </c>
      <c r="J122" s="18" t="str">
        <f>IFERROR(__xludf.DUMMYFUNCTION("""COMPUTED_VALUE"""),"Age Difference, Billionaires/Millionaires/Gazillionaires etc, Class Differences, Coworkers or Colleagues, Creatures or Monsters- Dragon/Orc/Fae/etc, Off Limits (ie; Brother's Best Friend), Pining/Yearning, Sweet MC- beta hero/kindhearted heroine/etc")</f>
        <v>Age Difference, Billionaires/Millionaires/Gazillionaires etc, Class Differences, Coworkers or Colleagues, Creatures or Monsters- Dragon/Orc/Fae/etc, Off Limits (ie; Brother's Best Friend), Pining/Yearning, Sweet MC- beta hero/kindhearted heroine/etc</v>
      </c>
      <c r="K122" s="18" t="str">
        <f>IFERROR(__xludf.DUMMYFUNCTION("""COMPUTED_VALUE"""),"Imaginary")</f>
        <v>Imaginary</v>
      </c>
      <c r="L122" s="18" t="str">
        <f>IFERROR(__xludf.DUMMYFUNCTION("""COMPUTED_VALUE"""),"Level 4- Heavy sexual content, mature audiences only")</f>
        <v>Level 4- Heavy sexual content, mature audiences only</v>
      </c>
      <c r="M122" s="18" t="str">
        <f>IFERROR(__xludf.DUMMYFUNCTION("""COMPUTED_VALUE"""),"Bondage &amp; Restraints, Dirty Talk, Dom/Sub, PIV sex (penis in vagina)")</f>
        <v>Bondage &amp; Restraints, Dirty Talk, Dom/Sub, PIV sex (penis in vagina)</v>
      </c>
      <c r="N122" s="18" t="str">
        <f>IFERROR(__xludf.DUMMYFUNCTION("""COMPUTED_VALUE"""),"Series- can be read as standalones")</f>
        <v>Series- can be read as standalones</v>
      </c>
      <c r="O122" s="18" t="str">
        <f>IFERROR(__xludf.DUMMYFUNCTION("""COMPUTED_VALUE"""),"Claws and Cubicles ")</f>
        <v>Claws and Cubicles </v>
      </c>
      <c r="P122" s="18" t="str">
        <f>IFERROR(__xludf.DUMMYFUNCTION("""COMPUTED_VALUE"""),"Tingle, Laugh, Smolder")</f>
        <v>Tingle, Laugh, Smolder</v>
      </c>
      <c r="Q122" s="18"/>
      <c r="R122" s="19" t="str">
        <f>IFERROR(__xludf.DUMMYFUNCTION("""COMPUTED_VALUE"""),"No")</f>
        <v>No</v>
      </c>
      <c r="S122" s="20" t="str">
        <f>IFERROR(__xludf.DUMMYFUNCTION("""COMPUTED_VALUE"""),"https://www.goodreads.com/book/show/59430686-love-laugh-lich")</f>
        <v>https://www.goodreads.com/book/show/59430686-love-laugh-lich</v>
      </c>
    </row>
    <row r="123">
      <c r="A123" s="16">
        <f>IFERROR(__xludf.DUMMYFUNCTION("""COMPUTED_VALUE"""),44780.86003225694)</f>
        <v>44780.86003</v>
      </c>
      <c r="B123" s="13" t="str">
        <f>IFERROR(__xludf.DUMMYFUNCTION("""COMPUTED_VALUE"""),"Add new entry")</f>
        <v>Add new entry</v>
      </c>
      <c r="C123" s="17" t="str">
        <f>IFERROR(__xludf.DUMMYFUNCTION("""COMPUTED_VALUE"""),"Burning Hope")</f>
        <v>Burning Hope</v>
      </c>
      <c r="D123" s="18" t="str">
        <f>IFERROR(__xludf.DUMMYFUNCTION("""COMPUTED_VALUE"""),"Kathryn Ann Kingsley")</f>
        <v>Kathryn Ann Kingsley</v>
      </c>
      <c r="E123" s="18" t="str">
        <f>IFERROR(__xludf.DUMMYFUNCTION("""COMPUTED_VALUE"""),"M/F")</f>
        <v>M/F</v>
      </c>
      <c r="F123" s="18" t="str">
        <f>IFERROR(__xludf.DUMMYFUNCTION("""COMPUTED_VALUE"""),"Physical disability or illness")</f>
        <v>Physical disability or illness</v>
      </c>
      <c r="G123" s="18"/>
      <c r="H123" s="18"/>
      <c r="I123" s="18" t="str">
        <f>IFERROR(__xludf.DUMMYFUNCTION("""COMPUTED_VALUE"""),"Fantasy &amp; Gothic, Science Fiction &amp; Alien")</f>
        <v>Fantasy &amp; Gothic, Science Fiction &amp; Alien</v>
      </c>
      <c r="J123" s="18" t="str">
        <f>IFERROR(__xludf.DUMMYFUNCTION("""COMPUTED_VALUE"""),"Antihero/Villian/Stockholm Syndrome, Enemies-to-lovers (or dislike-to-love)")</f>
        <v>Antihero/Villian/Stockholm Syndrome, Enemies-to-lovers (or dislike-to-love)</v>
      </c>
      <c r="K123" s="18"/>
      <c r="L123" s="18" t="str">
        <f>IFERROR(__xludf.DUMMYFUNCTION("""COMPUTED_VALUE"""),"Level 3- Sexual content in a few chapters")</f>
        <v>Level 3- Sexual content in a few chapters</v>
      </c>
      <c r="M123" s="18"/>
      <c r="N123" s="18"/>
      <c r="O123" s="18" t="str">
        <f>IFERROR(__xludf.DUMMYFUNCTION("""COMPUTED_VALUE"""),"Cardinal Winds #2")</f>
        <v>Cardinal Winds #2</v>
      </c>
      <c r="P123" s="18" t="str">
        <f>IFERROR(__xludf.DUMMYFUNCTION("""COMPUTED_VALUE"""),"Feel feels")</f>
        <v>Feel feels</v>
      </c>
      <c r="Q123" s="18" t="str">
        <f>IFERROR(__xludf.DUMMYFUNCTION("""COMPUTED_VALUE"""),"childhood sexual assault of MMC")</f>
        <v>childhood sexual assault of MMC</v>
      </c>
      <c r="R123" s="19" t="str">
        <f>IFERROR(__xludf.DUMMYFUNCTION("""COMPUTED_VALUE"""),"No")</f>
        <v>No</v>
      </c>
      <c r="S123" s="20" t="str">
        <f>IFERROR(__xludf.DUMMYFUNCTION("""COMPUTED_VALUE"""),"https://www.goodreads.com/book/show/54776844-burning-hope")</f>
        <v>https://www.goodreads.com/book/show/54776844-burning-hope</v>
      </c>
    </row>
    <row r="124">
      <c r="A124" s="16">
        <f>IFERROR(__xludf.DUMMYFUNCTION("""COMPUTED_VALUE"""),44815.0451041088)</f>
        <v>44815.0451</v>
      </c>
      <c r="B124" s="13" t="str">
        <f>IFERROR(__xludf.DUMMYFUNCTION("""COMPUTED_VALUE"""),"Add new entry")</f>
        <v>Add new entry</v>
      </c>
      <c r="C124" s="17" t="str">
        <f>IFERROR(__xludf.DUMMYFUNCTION("""COMPUTED_VALUE"""),"Of Visions &amp; Secrets")</f>
        <v>Of Visions &amp; Secrets</v>
      </c>
      <c r="D124" s="18" t="str">
        <f>IFERROR(__xludf.DUMMYFUNCTION("""COMPUTED_VALUE"""),"Kathryn Ann Kingsley")</f>
        <v>Kathryn Ann Kingsley</v>
      </c>
      <c r="E124" s="18" t="str">
        <f>IFERROR(__xludf.DUMMYFUNCTION("""COMPUTED_VALUE"""),"M/F")</f>
        <v>M/F</v>
      </c>
      <c r="F124" s="18" t="str">
        <f>IFERROR(__xludf.DUMMYFUNCTION("""COMPUTED_VALUE"""),"LGBTQIA+ &amp; GSM (Gender and Sexual Minorities), Mental disability or illness")</f>
        <v>LGBTQIA+ &amp; GSM (Gender and Sexual Minorities), Mental disability or illness</v>
      </c>
      <c r="G124" s="18" t="str">
        <f>IFERROR(__xludf.DUMMYFUNCTION("""COMPUTED_VALUE"""),"FMC is schizophrenic. LGBTQ rep comes from side characters, more meaningful in later books in the series.")</f>
        <v>FMC is schizophrenic. LGBTQ rep comes from side characters, more meaningful in later books in the series.</v>
      </c>
      <c r="H124" s="18"/>
      <c r="I124" s="18" t="str">
        <f>IFERROR(__xludf.DUMMYFUNCTION("""COMPUTED_VALUE"""),"Dark, Paranormal, Romantic Suspense")</f>
        <v>Dark, Paranormal, Romantic Suspense</v>
      </c>
      <c r="J124" s="18" t="str">
        <f>IFERROR(__xludf.DUMMYFUNCTION("""COMPUTED_VALUE"""),"Antihero/Villian/Stockholm Syndrome, Angel &amp; Demon etc, BDSM or Kink, Early 20th Century, Grumpy/Sunshine, Spy/Intrigue/Mystery")</f>
        <v>Antihero/Villian/Stockholm Syndrome, Angel &amp; Demon etc, BDSM or Kink, Early 20th Century, Grumpy/Sunshine, Spy/Intrigue/Mystery</v>
      </c>
      <c r="K124" s="18" t="str">
        <f>IFERROR(__xludf.DUMMYFUNCTION("""COMPUTED_VALUE"""),"North America")</f>
        <v>North America</v>
      </c>
      <c r="L124" s="18" t="str">
        <f>IFERROR(__xludf.DUMMYFUNCTION("""COMPUTED_VALUE"""),"Level 3- Sexual content in a few chapters")</f>
        <v>Level 3- Sexual content in a few chapters</v>
      </c>
      <c r="M124" s="18" t="str">
        <f>IFERROR(__xludf.DUMMYFUNCTION("""COMPUTED_VALUE"""),"Bondage &amp; Restraints, CNC (Consensual Non Consent), Knife Play")</f>
        <v>Bondage &amp; Restraints, CNC (Consensual Non Consent), Knife Play</v>
      </c>
      <c r="N124" s="18" t="str">
        <f>IFERROR(__xludf.DUMMYFUNCTION("""COMPUTED_VALUE"""),"Series- must be read in order")</f>
        <v>Series- must be read in order</v>
      </c>
      <c r="O124" s="18" t="str">
        <f>IFERROR(__xludf.DUMMYFUNCTION("""COMPUTED_VALUE"""),"Tenebris #1")</f>
        <v>Tenebris #1</v>
      </c>
      <c r="P124" s="18" t="str">
        <f>IFERROR(__xludf.DUMMYFUNCTION("""COMPUTED_VALUE"""),"Laugh, Feel feels, Scared, Transported")</f>
        <v>Laugh, Feel feels, Scared, Transported</v>
      </c>
      <c r="Q124" s="18" t="str">
        <f>IFERROR(__xludf.DUMMYFUNCTION("""COMPUTED_VALUE"""),"Mental illness, death, gore")</f>
        <v>Mental illness, death, gore</v>
      </c>
      <c r="R124" s="19" t="str">
        <f>IFERROR(__xludf.DUMMYFUNCTION("""COMPUTED_VALUE"""),"No")</f>
        <v>No</v>
      </c>
      <c r="S124" s="20" t="str">
        <f>IFERROR(__xludf.DUMMYFUNCTION("""COMPUTED_VALUE"""),"https://www.goodreads.com/book/show/60727228-of-visions-secrets")</f>
        <v>https://www.goodreads.com/book/show/60727228-of-visions-secrets</v>
      </c>
    </row>
    <row r="125">
      <c r="A125" s="16">
        <f>IFERROR(__xludf.DUMMYFUNCTION("""COMPUTED_VALUE"""),45553.00195370371)</f>
        <v>45553.00195</v>
      </c>
      <c r="B125" s="13" t="str">
        <f>IFERROR(__xludf.DUMMYFUNCTION("""COMPUTED_VALUE"""),"Add new entry")</f>
        <v>Add new entry</v>
      </c>
      <c r="C125" s="17" t="str">
        <f>IFERROR(__xludf.DUMMYFUNCTION("""COMPUTED_VALUE"""),"Doctor D'Arco, Sorcerer of London")</f>
        <v>Doctor D'Arco, Sorcerer of London</v>
      </c>
      <c r="D125" s="18" t="str">
        <f>IFERROR(__xludf.DUMMYFUNCTION("""COMPUTED_VALUE"""),"Kathryn Colvin")</f>
        <v>Kathryn Colvin</v>
      </c>
      <c r="E125" s="18" t="str">
        <f>IFERROR(__xludf.DUMMYFUNCTION("""COMPUTED_VALUE"""),"M/F")</f>
        <v>M/F</v>
      </c>
      <c r="F125" s="18"/>
      <c r="G125" s="18" t="str">
        <f>IFERROR(__xludf.DUMMYFUNCTION("""COMPUTED_VALUE"""),"MMC is a masked, mysterious, infamous professor of dark sorcery. FMC is a 26-year-old vengeful widow who becomes his student and apprentice.")</f>
        <v>MMC is a masked, mysterious, infamous professor of dark sorcery. FMC is a 26-year-old vengeful widow who becomes his student and apprentice.</v>
      </c>
      <c r="H125" s="18" t="str">
        <f>IFERROR(__xludf.DUMMYFUNCTION("""COMPUTED_VALUE"""),"Single POV, First person")</f>
        <v>Single POV, First person</v>
      </c>
      <c r="I125" s="18" t="str">
        <f>IFERROR(__xludf.DUMMYFUNCTION("""COMPUTED_VALUE"""),"Adventure, Dark, Gothic, Historical Romance, Paranormal, Romantic Suspense")</f>
        <v>Adventure, Dark, Gothic, Historical Romance, Paranormal, Romantic Suspense</v>
      </c>
      <c r="J125" s="18" t="str">
        <f>IFERROR(__xludf.DUMMYFUNCTION("""COMPUTED_VALUE"""),"Age Difference, Forbidden or Taboo, Pining/Yearning, Slow Burn, Spy/Intrigue/Mystery, Teacher/Writer/Librarian, Victorian, Witch/Wizard/Warlock etc, Byronic Hero/Antihero/Shadow Daddy")</f>
        <v>Age Difference, Forbidden or Taboo, Pining/Yearning, Slow Burn, Spy/Intrigue/Mystery, Teacher/Writer/Librarian, Victorian, Witch/Wizard/Warlock etc, Byronic Hero/Antihero/Shadow Daddy</v>
      </c>
      <c r="K125" s="18" t="str">
        <f>IFERROR(__xludf.DUMMYFUNCTION("""COMPUTED_VALUE"""),"England")</f>
        <v>England</v>
      </c>
      <c r="L125" s="18" t="str">
        <f>IFERROR(__xludf.DUMMYFUNCTION("""COMPUTED_VALUE"""),"Level 3- Sexual content in a few chapters")</f>
        <v>Level 3- Sexual content in a few chapters</v>
      </c>
      <c r="M125" s="18" t="str">
        <f>IFERROR(__xludf.DUMMYFUNCTION("""COMPUTED_VALUE"""),"Oral sex - cunnilingus, PIV sex (penis in vagina), Magic")</f>
        <v>Oral sex - cunnilingus, PIV sex (penis in vagina), Magic</v>
      </c>
      <c r="N125" s="18" t="str">
        <f>IFERROR(__xludf.DUMMYFUNCTION("""COMPUTED_VALUE"""),"Standalone (not part of a series)")</f>
        <v>Standalone (not part of a series)</v>
      </c>
      <c r="O125" s="18"/>
      <c r="P125" s="18" t="str">
        <f>IFERROR(__xludf.DUMMYFUNCTION("""COMPUTED_VALUE"""),"Swoon, Tingle, Laugh, Cry, Feel feels, Dream, Smolder, Transported")</f>
        <v>Swoon, Tingle, Laugh, Cry, Feel feels, Dream, Smolder, Transported</v>
      </c>
      <c r="Q125" s="18"/>
      <c r="R125" s="19" t="str">
        <f>IFERROR(__xludf.DUMMYFUNCTION("""COMPUTED_VALUE"""),"No")</f>
        <v>No</v>
      </c>
      <c r="S125" s="20" t="str">
        <f>IFERROR(__xludf.DUMMYFUNCTION("""COMPUTED_VALUE"""),"https://www.goodreads.com/book/show/216296627-doctor-d-arco-sorcerer-of-london")</f>
        <v>https://www.goodreads.com/book/show/216296627-doctor-d-arco-sorcerer-of-london</v>
      </c>
    </row>
    <row r="126">
      <c r="A126" s="16">
        <f>IFERROR(__xludf.DUMMYFUNCTION("""COMPUTED_VALUE"""),44780.862846909724)</f>
        <v>44780.86285</v>
      </c>
      <c r="B126" s="13" t="str">
        <f>IFERROR(__xludf.DUMMYFUNCTION("""COMPUTED_VALUE"""),"Add new entry")</f>
        <v>Add new entry</v>
      </c>
      <c r="C126" s="17" t="str">
        <f>IFERROR(__xludf.DUMMYFUNCTION("""COMPUTED_VALUE"""),"A Lady of Rooksgrave Manor")</f>
        <v>A Lady of Rooksgrave Manor</v>
      </c>
      <c r="D126" s="18" t="str">
        <f>IFERROR(__xludf.DUMMYFUNCTION("""COMPUTED_VALUE"""),"Kathryn Moon")</f>
        <v>Kathryn Moon</v>
      </c>
      <c r="E126" s="18" t="str">
        <f>IFERROR(__xludf.DUMMYFUNCTION("""COMPUTED_VALUE"""),"M/F")</f>
        <v>M/F</v>
      </c>
      <c r="F126" s="18"/>
      <c r="G126" s="18"/>
      <c r="H126" s="18" t="str">
        <f>IFERROR(__xludf.DUMMYFUNCTION("""COMPUTED_VALUE"""),"Single POV")</f>
        <v>Single POV</v>
      </c>
      <c r="I126" s="18" t="str">
        <f>IFERROR(__xludf.DUMMYFUNCTION("""COMPUTED_VALUE"""),"Erotic Romance, Fantasy &amp; Gothic, Paranormal, Polyamorous")</f>
        <v>Erotic Romance, Fantasy &amp; Gothic, Paranormal, Polyamorous</v>
      </c>
      <c r="J126" s="18" t="str">
        <f>IFERROR(__xludf.DUMMYFUNCTION("""COMPUTED_VALUE"""),"Creatures or Monsters- Dragon/Orc/Fae/etc, Escort/Sex worker/Courtesan, Reverse Harem/Why Choose, Vampire, Undead etc, Victorian")</f>
        <v>Creatures or Monsters- Dragon/Orc/Fae/etc, Escort/Sex worker/Courtesan, Reverse Harem/Why Choose, Vampire, Undead etc, Victorian</v>
      </c>
      <c r="K126" s="18"/>
      <c r="L126" s="18" t="str">
        <f>IFERROR(__xludf.DUMMYFUNCTION("""COMPUTED_VALUE"""),"Level 5- My Kindle melted, primarily erotica")</f>
        <v>Level 5- My Kindle melted, primarily erotica</v>
      </c>
      <c r="M126" s="18"/>
      <c r="N126" s="18"/>
      <c r="O126" s="18" t="str">
        <f>IFERROR(__xludf.DUMMYFUNCTION("""COMPUTED_VALUE"""),"Tempting Monsters #1")</f>
        <v>Tempting Monsters #1</v>
      </c>
      <c r="P126" s="18" t="str">
        <f>IFERROR(__xludf.DUMMYFUNCTION("""COMPUTED_VALUE"""),"Swoon, Feel feels")</f>
        <v>Swoon, Feel feels</v>
      </c>
      <c r="Q126" s="18" t="str">
        <f>IFERROR(__xludf.DUMMYFUNCTION("""COMPUTED_VALUE"""),"Rape (threatened)")</f>
        <v>Rape (threatened)</v>
      </c>
      <c r="R126" s="19" t="str">
        <f>IFERROR(__xludf.DUMMYFUNCTION("""COMPUTED_VALUE"""),"No")</f>
        <v>No</v>
      </c>
      <c r="S126" s="20" t="str">
        <f>IFERROR(__xludf.DUMMYFUNCTION("""COMPUTED_VALUE"""),"https://www.goodreads.com/book/show/56574777-a-lady-of-rooksgrave-manor")</f>
        <v>https://www.goodreads.com/book/show/56574777-a-lady-of-rooksgrave-manor</v>
      </c>
    </row>
    <row r="127">
      <c r="A127" s="16">
        <f>IFERROR(__xludf.DUMMYFUNCTION("""COMPUTED_VALUE"""),44782.78742887732)</f>
        <v>44782.78743</v>
      </c>
      <c r="B127" s="13" t="str">
        <f>IFERROR(__xludf.DUMMYFUNCTION("""COMPUTED_VALUE"""),"Add new entry")</f>
        <v>Add new entry</v>
      </c>
      <c r="C127" s="17" t="str">
        <f>IFERROR(__xludf.DUMMYFUNCTION("""COMPUTED_VALUE"""),"Lola &amp; the Millionaires - Part One")</f>
        <v>Lola &amp; the Millionaires - Part One</v>
      </c>
      <c r="D127" s="18" t="str">
        <f>IFERROR(__xludf.DUMMYFUNCTION("""COMPUTED_VALUE"""),"Kathryn Moon")</f>
        <v>Kathryn Moon</v>
      </c>
      <c r="E127" s="18" t="str">
        <f>IFERROR(__xludf.DUMMYFUNCTION("""COMPUTED_VALUE"""),"RH")</f>
        <v>RH</v>
      </c>
      <c r="F127" s="18"/>
      <c r="G127" s="18"/>
      <c r="H127" s="18" t="str">
        <f>IFERROR(__xludf.DUMMYFUNCTION("""COMPUTED_VALUE"""),"Dual POV")</f>
        <v>Dual POV</v>
      </c>
      <c r="I127" s="18" t="str">
        <f>IFERROR(__xludf.DUMMYFUNCTION("""COMPUTED_VALUE"""),"Omegaverse")</f>
        <v>Omegaverse</v>
      </c>
      <c r="J127" s="18" t="str">
        <f>IFERROR(__xludf.DUMMYFUNCTION("""COMPUTED_VALUE"""),"A/B/O (alpha/beta/omega), Age Difference, Celebrities- Rock star/Actor/Model, Coworkers or Colleagues, Fated Mates, Friends-to-lovers, Hurt/Comfort, Menage, Reverse Harem/Why Choose, Sweet MC- beta hero/kindhearted heroine/etc")</f>
        <v>A/B/O (alpha/beta/omega), Age Difference, Celebrities- Rock star/Actor/Model, Coworkers or Colleagues, Fated Mates, Friends-to-lovers, Hurt/Comfort, Menage, Reverse Harem/Why Choose, Sweet MC- beta hero/kindhearted heroine/etc</v>
      </c>
      <c r="K127" s="18" t="str">
        <f>IFERROR(__xludf.DUMMYFUNCTION("""COMPUTED_VALUE"""),"North America")</f>
        <v>North America</v>
      </c>
      <c r="L127" s="18" t="str">
        <f>IFERROR(__xludf.DUMMYFUNCTION("""COMPUTED_VALUE"""),"Level 4- Heavy sexual content, mature audiences only")</f>
        <v>Level 4- Heavy sexual content, mature audiences only</v>
      </c>
      <c r="M127" s="18" t="str">
        <f>IFERROR(__xludf.DUMMYFUNCTION("""COMPUTED_VALUE"""),"Praise Kink")</f>
        <v>Praise Kink</v>
      </c>
      <c r="N127" s="18" t="str">
        <f>IFERROR(__xludf.DUMMYFUNCTION("""COMPUTED_VALUE"""),"Series- must be read in order")</f>
        <v>Series- must be read in order</v>
      </c>
      <c r="O127" s="18" t="str">
        <f>IFERROR(__xludf.DUMMYFUNCTION("""COMPUTED_VALUE"""),"Part 1 of 2")</f>
        <v>Part 1 of 2</v>
      </c>
      <c r="P127" s="18" t="str">
        <f>IFERROR(__xludf.DUMMYFUNCTION("""COMPUTED_VALUE"""),"Swoon, Smolder")</f>
        <v>Swoon, Smolder</v>
      </c>
      <c r="Q127" s="18"/>
      <c r="R127" s="19" t="str">
        <f>IFERROR(__xludf.DUMMYFUNCTION("""COMPUTED_VALUE"""),"No")</f>
        <v>No</v>
      </c>
      <c r="S127" s="20" t="str">
        <f>IFERROR(__xludf.DUMMYFUNCTION("""COMPUTED_VALUE"""),"https://www.goodreads.com/book/show/53418962-lola-the-millionaires")</f>
        <v>https://www.goodreads.com/book/show/53418962-lola-the-millionaires</v>
      </c>
    </row>
    <row r="128">
      <c r="A128" s="16">
        <f>IFERROR(__xludf.DUMMYFUNCTION("""COMPUTED_VALUE"""),44782.79497314814)</f>
        <v>44782.79497</v>
      </c>
      <c r="B128" s="13" t="str">
        <f>IFERROR(__xludf.DUMMYFUNCTION("""COMPUTED_VALUE"""),"Add new entry")</f>
        <v>Add new entry</v>
      </c>
      <c r="C128" s="17" t="str">
        <f>IFERROR(__xludf.DUMMYFUNCTION("""COMPUTED_VALUE"""),"Lola &amp; the Millionaires Part Two")</f>
        <v>Lola &amp; the Millionaires Part Two</v>
      </c>
      <c r="D128" s="18" t="str">
        <f>IFERROR(__xludf.DUMMYFUNCTION("""COMPUTED_VALUE"""),"Kathryn Moon")</f>
        <v>Kathryn Moon</v>
      </c>
      <c r="E128" s="18" t="str">
        <f>IFERROR(__xludf.DUMMYFUNCTION("""COMPUTED_VALUE"""),"RH")</f>
        <v>RH</v>
      </c>
      <c r="F128" s="18"/>
      <c r="G128" s="18"/>
      <c r="H128" s="18" t="str">
        <f>IFERROR(__xludf.DUMMYFUNCTION("""COMPUTED_VALUE"""),"Dual POV")</f>
        <v>Dual POV</v>
      </c>
      <c r="I128" s="18" t="str">
        <f>IFERROR(__xludf.DUMMYFUNCTION("""COMPUTED_VALUE"""),"Omegaverse")</f>
        <v>Omegaverse</v>
      </c>
      <c r="J128" s="18" t="str">
        <f>IFERROR(__xludf.DUMMYFUNCTION("""COMPUTED_VALUE"""),"A/B/O (alpha/beta/omega), BDSM or Kink, Billionaires/Millionaires/Gazillionaires etc, Coworkers or Colleagues, Fated Mates, Hurt/Comfort, Reverse Harem/Why Choose")</f>
        <v>A/B/O (alpha/beta/omega), BDSM or Kink, Billionaires/Millionaires/Gazillionaires etc, Coworkers or Colleagues, Fated Mates, Hurt/Comfort, Reverse Harem/Why Choose</v>
      </c>
      <c r="K128" s="18" t="str">
        <f>IFERROR(__xludf.DUMMYFUNCTION("""COMPUTED_VALUE"""),"North America")</f>
        <v>North America</v>
      </c>
      <c r="L128" s="18" t="str">
        <f>IFERROR(__xludf.DUMMYFUNCTION("""COMPUTED_VALUE"""),"Level 4- Heavy sexual content, mature audiences only")</f>
        <v>Level 4- Heavy sexual content, mature audiences only</v>
      </c>
      <c r="M128" s="18" t="str">
        <f>IFERROR(__xludf.DUMMYFUNCTION("""COMPUTED_VALUE"""),"Breeding Kink, Edging/Orgasm Denial, Praise Kink, Sex Toy Play")</f>
        <v>Breeding Kink, Edging/Orgasm Denial, Praise Kink, Sex Toy Play</v>
      </c>
      <c r="N128" s="18" t="str">
        <f>IFERROR(__xludf.DUMMYFUNCTION("""COMPUTED_VALUE"""),"Series- must be read in order")</f>
        <v>Series- must be read in order</v>
      </c>
      <c r="O128" s="18" t="str">
        <f>IFERROR(__xludf.DUMMYFUNCTION("""COMPUTED_VALUE"""),"Part Two")</f>
        <v>Part Two</v>
      </c>
      <c r="P128" s="18" t="str">
        <f>IFERROR(__xludf.DUMMYFUNCTION("""COMPUTED_VALUE"""),"Swoon, Feel feels, Smolder")</f>
        <v>Swoon, Feel feels, Smolder</v>
      </c>
      <c r="Q128" s="18"/>
      <c r="R128" s="19" t="str">
        <f>IFERROR(__xludf.DUMMYFUNCTION("""COMPUTED_VALUE"""),"No")</f>
        <v>No</v>
      </c>
      <c r="S128" s="20" t="str">
        <f>IFERROR(__xludf.DUMMYFUNCTION("""COMPUTED_VALUE"""),"https://www.goodreads.com/book/show/53418968-lola-the-millionaires")</f>
        <v>https://www.goodreads.com/book/show/53418968-lola-the-millionaires</v>
      </c>
    </row>
    <row r="129">
      <c r="A129" s="16">
        <f>IFERROR(__xludf.DUMMYFUNCTION("""COMPUTED_VALUE"""),44782.79764788195)</f>
        <v>44782.79765</v>
      </c>
      <c r="B129" s="13" t="str">
        <f>IFERROR(__xludf.DUMMYFUNCTION("""COMPUTED_VALUE"""),"Add new entry")</f>
        <v>Add new entry</v>
      </c>
      <c r="C129" s="17" t="str">
        <f>IFERROR(__xludf.DUMMYFUNCTION("""COMPUTED_VALUE"""),"The Company of Fiends")</f>
        <v>The Company of Fiends</v>
      </c>
      <c r="D129" s="18" t="str">
        <f>IFERROR(__xludf.DUMMYFUNCTION("""COMPUTED_VALUE"""),"Kathryn Moon")</f>
        <v>Kathryn Moon</v>
      </c>
      <c r="E129" s="18" t="str">
        <f>IFERROR(__xludf.DUMMYFUNCTION("""COMPUTED_VALUE"""),"RH")</f>
        <v>RH</v>
      </c>
      <c r="F129" s="18"/>
      <c r="G129" s="18"/>
      <c r="H129" s="18"/>
      <c r="I129" s="18" t="str">
        <f>IFERROR(__xludf.DUMMYFUNCTION("""COMPUTED_VALUE"""),"Erotic Romance, Fantasy &amp; Gothic, Paranormal, Polyamorous")</f>
        <v>Erotic Romance, Fantasy &amp; Gothic, Paranormal, Polyamorous</v>
      </c>
      <c r="J129" s="18" t="str">
        <f>IFERROR(__xludf.DUMMYFUNCTION("""COMPUTED_VALUE"""),"Age Difference, Art Themed- Music/Dance/Sculpture, BDSM or Kink, Creatures or Monsters- Dragon/Orc/Fae/etc, Early 20th Century, Reverse Harem/Why Choose")</f>
        <v>Age Difference, Art Themed- Music/Dance/Sculpture, BDSM or Kink, Creatures or Monsters- Dragon/Orc/Fae/etc, Early 20th Century, Reverse Harem/Why Choose</v>
      </c>
      <c r="K129" s="18" t="str">
        <f>IFERROR(__xludf.DUMMYFUNCTION("""COMPUTED_VALUE"""),"Europe")</f>
        <v>Europe</v>
      </c>
      <c r="L129" s="18" t="str">
        <f>IFERROR(__xludf.DUMMYFUNCTION("""COMPUTED_VALUE"""),"Level 5- My Kindle melted, primarily erotica")</f>
        <v>Level 5- My Kindle melted, primarily erotica</v>
      </c>
      <c r="M129" s="18" t="str">
        <f>IFERROR(__xludf.DUMMYFUNCTION("""COMPUTED_VALUE"""),"Bondage, Double Penetration, Edging/Orgasm Denial, Exhibitionism, Impact play (spanking etc), Maledom, Pegging, Pet Play, Praise Kink, Size Kink, Voyeurism")</f>
        <v>Bondage, Double Penetration, Edging/Orgasm Denial, Exhibitionism, Impact play (spanking etc), Maledom, Pegging, Pet Play, Praise Kink, Size Kink, Voyeurism</v>
      </c>
      <c r="N129" s="18" t="str">
        <f>IFERROR(__xludf.DUMMYFUNCTION("""COMPUTED_VALUE"""),"Series- can be read as standalones")</f>
        <v>Series- can be read as standalones</v>
      </c>
      <c r="O129" s="18" t="str">
        <f>IFERROR(__xludf.DUMMYFUNCTION("""COMPUTED_VALUE"""),"Tempting Monsters #2")</f>
        <v>Tempting Monsters #2</v>
      </c>
      <c r="P129" s="18" t="str">
        <f>IFERROR(__xludf.DUMMYFUNCTION("""COMPUTED_VALUE"""),"Smolder")</f>
        <v>Smolder</v>
      </c>
      <c r="Q129" s="18"/>
      <c r="R129" s="19" t="str">
        <f>IFERROR(__xludf.DUMMYFUNCTION("""COMPUTED_VALUE"""),"No")</f>
        <v>No</v>
      </c>
      <c r="S129" s="20" t="str">
        <f>IFERROR(__xludf.DUMMYFUNCTION("""COMPUTED_VALUE"""),"https://www.goodreads.com/book/show/58756087-the-company-of-fiends")</f>
        <v>https://www.goodreads.com/book/show/58756087-the-company-of-fiends</v>
      </c>
    </row>
    <row r="130">
      <c r="A130" s="16">
        <f>IFERROR(__xludf.DUMMYFUNCTION("""COMPUTED_VALUE"""),44780.86471851852)</f>
        <v>44780.86472</v>
      </c>
      <c r="B130" s="13" t="str">
        <f>IFERROR(__xludf.DUMMYFUNCTION("""COMPUTED_VALUE"""),"Add new entry")</f>
        <v>Add new entry</v>
      </c>
      <c r="C130" s="17" t="str">
        <f>IFERROR(__xludf.DUMMYFUNCTION("""COMPUTED_VALUE"""),"Wild Open Hearts")</f>
        <v>Wild Open Hearts</v>
      </c>
      <c r="D130" s="18" t="str">
        <f>IFERROR(__xludf.DUMMYFUNCTION("""COMPUTED_VALUE"""),"Kathryn Nolan")</f>
        <v>Kathryn Nolan</v>
      </c>
      <c r="E130" s="18" t="str">
        <f>IFERROR(__xludf.DUMMYFUNCTION("""COMPUTED_VALUE"""),"M/F")</f>
        <v>M/F</v>
      </c>
      <c r="F130" s="18"/>
      <c r="G130" s="18"/>
      <c r="H130" s="18"/>
      <c r="I130" s="18" t="str">
        <f>IFERROR(__xludf.DUMMYFUNCTION("""COMPUTED_VALUE"""),"Contemporary, Romantic Comedy")</f>
        <v>Contemporary, Romantic Comedy</v>
      </c>
      <c r="J130" s="18" t="str">
        <f>IFERROR(__xludf.DUMMYFUNCTION("""COMPUTED_VALUE"""),"Billionaires/Millionaires/Gazillionaires etc, Billionaire FMC")</f>
        <v>Billionaires/Millionaires/Gazillionaires etc, Billionaire FMC</v>
      </c>
      <c r="K130" s="18"/>
      <c r="L130" s="18" t="str">
        <f>IFERROR(__xludf.DUMMYFUNCTION("""COMPUTED_VALUE"""),"Level 3- Sexual content in a few chapters")</f>
        <v>Level 3- Sexual content in a few chapters</v>
      </c>
      <c r="M130" s="18"/>
      <c r="N130" s="18" t="str">
        <f>IFERROR(__xludf.DUMMYFUNCTION("""COMPUTED_VALUE"""),"Series- can be read as standalones")</f>
        <v>Series- can be read as standalones</v>
      </c>
      <c r="O130" s="18" t="str">
        <f>IFERROR(__xludf.DUMMYFUNCTION("""COMPUTED_VALUE"""),"Bluewater Billionaires")</f>
        <v>Bluewater Billionaires</v>
      </c>
      <c r="P130" s="18" t="str">
        <f>IFERROR(__xludf.DUMMYFUNCTION("""COMPUTED_VALUE"""),"Swoon, Laugh")</f>
        <v>Swoon, Laugh</v>
      </c>
      <c r="Q130" s="18"/>
      <c r="R130" s="19" t="str">
        <f>IFERROR(__xludf.DUMMYFUNCTION("""COMPUTED_VALUE"""),"No")</f>
        <v>No</v>
      </c>
      <c r="S130" s="20" t="str">
        <f>IFERROR(__xludf.DUMMYFUNCTION("""COMPUTED_VALUE"""),"https://www.goodreads.com/book/show/51051801-wild-open-hearts")</f>
        <v>https://www.goodreads.com/book/show/51051801-wild-open-hearts</v>
      </c>
    </row>
    <row r="131">
      <c r="A131" s="16">
        <f>IFERROR(__xludf.DUMMYFUNCTION("""COMPUTED_VALUE"""),44780.87531472222)</f>
        <v>44780.87531</v>
      </c>
      <c r="B131" s="13" t="str">
        <f>IFERROR(__xludf.DUMMYFUNCTION("""COMPUTED_VALUE"""),"Add new entry")</f>
        <v>Add new entry</v>
      </c>
      <c r="C131" s="17" t="str">
        <f>IFERROR(__xludf.DUMMYFUNCTION("""COMPUTED_VALUE"""),"Behind The Veil")</f>
        <v>Behind The Veil</v>
      </c>
      <c r="D131" s="18" t="str">
        <f>IFERROR(__xludf.DUMMYFUNCTION("""COMPUTED_VALUE"""),"Kathryn Nolan")</f>
        <v>Kathryn Nolan</v>
      </c>
      <c r="E131" s="18" t="str">
        <f>IFERROR(__xludf.DUMMYFUNCTION("""COMPUTED_VALUE"""),"M/F")</f>
        <v>M/F</v>
      </c>
      <c r="F131" s="18" t="str">
        <f>IFERROR(__xludf.DUMMYFUNCTION("""COMPUTED_VALUE"""),"BIPoC (Black, Indigenous, People of Colour)")</f>
        <v>BIPoC (Black, Indigenous, People of Colour)</v>
      </c>
      <c r="G131" s="18"/>
      <c r="H131" s="18"/>
      <c r="I131" s="18" t="str">
        <f>IFERROR(__xludf.DUMMYFUNCTION("""COMPUTED_VALUE"""),"Contemporary, Romantic Comedy")</f>
        <v>Contemporary, Romantic Comedy</v>
      </c>
      <c r="J131" s="18" t="str">
        <f>IFERROR(__xludf.DUMMYFUNCTION("""COMPUTED_VALUE"""),"Art Themed- Music/Dance/Sculpture, Coworkers or Colleagues, Fake Relationship, Friends-to-lovers, Geek/Nerd/Misfit/Genius, Spy/Intrigue/Mystery, Teacher/Writer/Librarian")</f>
        <v>Art Themed- Music/Dance/Sculpture, Coworkers or Colleagues, Fake Relationship, Friends-to-lovers, Geek/Nerd/Misfit/Genius, Spy/Intrigue/Mystery, Teacher/Writer/Librarian</v>
      </c>
      <c r="K131" s="18"/>
      <c r="L131" s="18" t="str">
        <f>IFERROR(__xludf.DUMMYFUNCTION("""COMPUTED_VALUE"""),"Level 4- Heavy sexual content, mature audiences only")</f>
        <v>Level 4- Heavy sexual content, mature audiences only</v>
      </c>
      <c r="M131" s="18"/>
      <c r="N131" s="18"/>
      <c r="O131" s="18" t="str">
        <f>IFERROR(__xludf.DUMMYFUNCTION("""COMPUTED_VALUE"""),"Codex #1")</f>
        <v>Codex #1</v>
      </c>
      <c r="P131" s="18" t="str">
        <f>IFERROR(__xludf.DUMMYFUNCTION("""COMPUTED_VALUE"""),"Swoon, Tingle, Laugh, Smolder, Learn")</f>
        <v>Swoon, Tingle, Laugh, Smolder, Learn</v>
      </c>
      <c r="Q131" s="18"/>
      <c r="R131" s="19" t="str">
        <f>IFERROR(__xludf.DUMMYFUNCTION("""COMPUTED_VALUE"""),"No")</f>
        <v>No</v>
      </c>
      <c r="S131" s="20" t="str">
        <f>IFERROR(__xludf.DUMMYFUNCTION("""COMPUTED_VALUE"""),"https://www.goodreads.com/book/show/51786773-behind-the-veil")</f>
        <v>https://www.goodreads.com/book/show/51786773-behind-the-veil</v>
      </c>
    </row>
    <row r="132">
      <c r="A132" s="16">
        <f>IFERROR(__xludf.DUMMYFUNCTION("""COMPUTED_VALUE"""),44781.71670587963)</f>
        <v>44781.71671</v>
      </c>
      <c r="B132" s="13" t="str">
        <f>IFERROR(__xludf.DUMMYFUNCTION("""COMPUTED_VALUE"""),"Add new entry")</f>
        <v>Add new entry</v>
      </c>
      <c r="C132" s="17" t="str">
        <f>IFERROR(__xludf.DUMMYFUNCTION("""COMPUTED_VALUE"""),"Hold Your Breath")</f>
        <v>Hold Your Breath</v>
      </c>
      <c r="D132" s="18" t="str">
        <f>IFERROR(__xludf.DUMMYFUNCTION("""COMPUTED_VALUE"""),"Katie Ruggle")</f>
        <v>Katie Ruggle</v>
      </c>
      <c r="E132" s="18" t="str">
        <f>IFERROR(__xludf.DUMMYFUNCTION("""COMPUTED_VALUE"""),"M/F")</f>
        <v>M/F</v>
      </c>
      <c r="F132" s="18"/>
      <c r="G132" s="18" t="str">
        <f>IFERROR(__xludf.DUMMYFUNCTION("""COMPUTED_VALUE"""),"Stoic hero protector and sunny, funny heroine who makes him smile")</f>
        <v>Stoic hero protector and sunny, funny heroine who makes him smile</v>
      </c>
      <c r="H132" s="18" t="str">
        <f>IFERROR(__xludf.DUMMYFUNCTION("""COMPUTED_VALUE"""),"Single POV, Third person")</f>
        <v>Single POV, Third person</v>
      </c>
      <c r="I132" s="18" t="str">
        <f>IFERROR(__xludf.DUMMYFUNCTION("""COMPUTED_VALUE"""),"Adventure, Romantic Suspense")</f>
        <v>Adventure, Romantic Suspense</v>
      </c>
      <c r="J132" s="18" t="str">
        <f>IFERROR(__xludf.DUMMYFUNCTION("""COMPUTED_VALUE"""),"Coworkers or Colleagues, First Responders- Firefighter/Police etc, Grumpy/Sunshine, Opposites Attract, Outdoorsy- forest/hiking/camping etc, Small Town")</f>
        <v>Coworkers or Colleagues, First Responders- Firefighter/Police etc, Grumpy/Sunshine, Opposites Attract, Outdoorsy- forest/hiking/camping etc, Small Town</v>
      </c>
      <c r="K132" s="18" t="str">
        <f>IFERROR(__xludf.DUMMYFUNCTION("""COMPUTED_VALUE"""),"North America")</f>
        <v>North America</v>
      </c>
      <c r="L132" s="18" t="str">
        <f>IFERROR(__xludf.DUMMYFUNCTION("""COMPUTED_VALUE"""),"Level 3- Sexual content in a few chapters")</f>
        <v>Level 3- Sexual content in a few chapters</v>
      </c>
      <c r="M132" s="18"/>
      <c r="N132" s="18" t="str">
        <f>IFERROR(__xludf.DUMMYFUNCTION("""COMPUTED_VALUE"""),"Series- can be read as standalones")</f>
        <v>Series- can be read as standalones</v>
      </c>
      <c r="O132" s="18" t="str">
        <f>IFERROR(__xludf.DUMMYFUNCTION("""COMPUTED_VALUE"""),"Search and Rescue")</f>
        <v>Search and Rescue</v>
      </c>
      <c r="P132" s="18" t="str">
        <f>IFERROR(__xludf.DUMMYFUNCTION("""COMPUTED_VALUE"""),"Tingle, Laugh, Learn, Scared")</f>
        <v>Tingle, Laugh, Learn, Scared</v>
      </c>
      <c r="Q132" s="18" t="str">
        <f>IFERROR(__xludf.DUMMYFUNCTION("""COMPUTED_VALUE"""),"Suspense and crime elements such as a dead body, arson, stalking, attempted drowning, gunshots. ")</f>
        <v>Suspense and crime elements such as a dead body, arson, stalking, attempted drowning, gunshots. </v>
      </c>
      <c r="R132" s="19" t="str">
        <f>IFERROR(__xludf.DUMMYFUNCTION("""COMPUTED_VALUE"""),"No")</f>
        <v>No</v>
      </c>
      <c r="S132" s="20" t="str">
        <f>IFERROR(__xludf.DUMMYFUNCTION("""COMPUTED_VALUE"""),"https://www.goodreads.com/book/show/25880375-hold-your-breath")</f>
        <v>https://www.goodreads.com/book/show/25880375-hold-your-breath</v>
      </c>
    </row>
    <row r="133">
      <c r="A133" s="16">
        <f>IFERROR(__xludf.DUMMYFUNCTION("""COMPUTED_VALUE"""),44784.26094047454)</f>
        <v>44784.26094</v>
      </c>
      <c r="B133" s="13" t="str">
        <f>IFERROR(__xludf.DUMMYFUNCTION("""COMPUTED_VALUE"""),"Add new entry")</f>
        <v>Add new entry</v>
      </c>
      <c r="C133" s="17" t="str">
        <f>IFERROR(__xludf.DUMMYFUNCTION("""COMPUTED_VALUE"""),"Hurricane Ryan")</f>
        <v>Hurricane Ryan</v>
      </c>
      <c r="D133" s="18" t="str">
        <f>IFERROR(__xludf.DUMMYFUNCTION("""COMPUTED_VALUE"""),"Katya Summers")</f>
        <v>Katya Summers</v>
      </c>
      <c r="E133" s="18" t="str">
        <f>IFERROR(__xludf.DUMMYFUNCTION("""COMPUTED_VALUE"""),"M/F")</f>
        <v>M/F</v>
      </c>
      <c r="F133" s="18"/>
      <c r="G133" s="18"/>
      <c r="H133" s="18" t="str">
        <f>IFERROR(__xludf.DUMMYFUNCTION("""COMPUTED_VALUE"""),"Dual POV, First person")</f>
        <v>Dual POV, First person</v>
      </c>
      <c r="I133" s="18" t="str">
        <f>IFERROR(__xludf.DUMMYFUNCTION("""COMPUTED_VALUE"""),"Contemporary, Romantic Suspense")</f>
        <v>Contemporary, Romantic Suspense</v>
      </c>
      <c r="J133" s="18" t="str">
        <f>IFERROR(__xludf.DUMMYFUNCTION("""COMPUTED_VALUE"""),"Coworkers or Colleagues")</f>
        <v>Coworkers or Colleagues</v>
      </c>
      <c r="K133" s="18" t="str">
        <f>IFERROR(__xludf.DUMMYFUNCTION("""COMPUTED_VALUE"""),"North America")</f>
        <v>North America</v>
      </c>
      <c r="L133" s="18" t="str">
        <f>IFERROR(__xludf.DUMMYFUNCTION("""COMPUTED_VALUE"""),"Level 3- Sexual content in a few chapters")</f>
        <v>Level 3- Sexual content in a few chapters</v>
      </c>
      <c r="M133" s="18"/>
      <c r="N133" s="18" t="str">
        <f>IFERROR(__xludf.DUMMYFUNCTION("""COMPUTED_VALUE"""),"Series- can be read as standalones")</f>
        <v>Series- can be read as standalones</v>
      </c>
      <c r="O133" s="18" t="str">
        <f>IFERROR(__xludf.DUMMYFUNCTION("""COMPUTED_VALUE"""),"Sea Side Cove #1")</f>
        <v>Sea Side Cove #1</v>
      </c>
      <c r="P133" s="18" t="str">
        <f>IFERROR(__xludf.DUMMYFUNCTION("""COMPUTED_VALUE"""),"Swoon, Laugh")</f>
        <v>Swoon, Laugh</v>
      </c>
      <c r="Q133" s="18" t="str">
        <f>IFERROR(__xludf.DUMMYFUNCTION("""COMPUTED_VALUE"""),"There is cheating, but not by the leads.")</f>
        <v>There is cheating, but not by the leads.</v>
      </c>
      <c r="R133" s="19" t="str">
        <f>IFERROR(__xludf.DUMMYFUNCTION("""COMPUTED_VALUE"""),"No")</f>
        <v>No</v>
      </c>
      <c r="S133" s="20" t="str">
        <f>IFERROR(__xludf.DUMMYFUNCTION("""COMPUTED_VALUE"""),"https://www.goodreads.com/book/show/61405436-hurricane-ryan")</f>
        <v>https://www.goodreads.com/book/show/61405436-hurricane-ryan</v>
      </c>
    </row>
    <row r="134">
      <c r="A134" s="16">
        <f>IFERROR(__xludf.DUMMYFUNCTION("""COMPUTED_VALUE"""),45035.22053473379)</f>
        <v>45035.22053</v>
      </c>
      <c r="B134" s="13" t="str">
        <f>IFERROR(__xludf.DUMMYFUNCTION("""COMPUTED_VALUE"""),"Add new entry")</f>
        <v>Add new entry</v>
      </c>
      <c r="C134" s="17" t="str">
        <f>IFERROR(__xludf.DUMMYFUNCTION("""COMPUTED_VALUE"""),"Endless")</f>
        <v>Endless</v>
      </c>
      <c r="D134" s="18" t="str">
        <f>IFERROR(__xludf.DUMMYFUNCTION("""COMPUTED_VALUE"""),"Kaylene Winter ")</f>
        <v>Kaylene Winter </v>
      </c>
      <c r="E134" s="18" t="str">
        <f>IFERROR(__xludf.DUMMYFUNCTION("""COMPUTED_VALUE"""),"M/F")</f>
        <v>M/F</v>
      </c>
      <c r="F134" s="18"/>
      <c r="G134" s="18"/>
      <c r="H134" s="18" t="str">
        <f>IFERROR(__xludf.DUMMYFUNCTION("""COMPUTED_VALUE"""),"Dual POV")</f>
        <v>Dual POV</v>
      </c>
      <c r="I134" s="18" t="str">
        <f>IFERROR(__xludf.DUMMYFUNCTION("""COMPUTED_VALUE"""),"Contemporary, New Adult (NA)")</f>
        <v>Contemporary, New Adult (NA)</v>
      </c>
      <c r="J134" s="18" t="str">
        <f>IFERROR(__xludf.DUMMYFUNCTION("""COMPUTED_VALUE"""),"Angst, Celebrities- Rock star/Actor/Model, Insta-lust/Insta-love/Insta-coffee, Pining/Yearning, Second Chance, Virgin MC")</f>
        <v>Angst, Celebrities- Rock star/Actor/Model, Insta-lust/Insta-love/Insta-coffee, Pining/Yearning, Second Chance, Virgin MC</v>
      </c>
      <c r="K134" s="18" t="str">
        <f>IFERROR(__xludf.DUMMYFUNCTION("""COMPUTED_VALUE"""),"North America")</f>
        <v>North America</v>
      </c>
      <c r="L134" s="18" t="str">
        <f>IFERROR(__xludf.DUMMYFUNCTION("""COMPUTED_VALUE"""),"Level 4- Heavy sexual content, mature audiences only")</f>
        <v>Level 4- Heavy sexual content, mature audiences only</v>
      </c>
      <c r="M134" s="18" t="str">
        <f>IFERROR(__xludf.DUMMYFUNCTION("""COMPUTED_VALUE"""),"Oral sex - cunnilingus, Oral sex - fellatio, PIV sex (penis in vagina), Shower sex")</f>
        <v>Oral sex - cunnilingus, Oral sex - fellatio, PIV sex (penis in vagina), Shower sex</v>
      </c>
      <c r="N134" s="18" t="str">
        <f>IFERROR(__xludf.DUMMYFUNCTION("""COMPUTED_VALUE"""),"Series- can be read as standalones")</f>
        <v>Series- can be read as standalones</v>
      </c>
      <c r="O134" s="18" t="str">
        <f>IFERROR(__xludf.DUMMYFUNCTION("""COMPUTED_VALUE"""),"Less Than Zero Book #1")</f>
        <v>Less Than Zero Book #1</v>
      </c>
      <c r="P134" s="18" t="str">
        <f>IFERROR(__xludf.DUMMYFUNCTION("""COMPUTED_VALUE"""),"Swoon, Tingle, Laugh, Cry, Rage, Feel feels")</f>
        <v>Swoon, Tingle, Laugh, Cry, Rage, Feel feels</v>
      </c>
      <c r="Q134" s="18"/>
      <c r="R134" s="19" t="str">
        <f>IFERROR(__xludf.DUMMYFUNCTION("""COMPUTED_VALUE"""),"No")</f>
        <v>No</v>
      </c>
      <c r="S134" s="20" t="str">
        <f>IFERROR(__xludf.DUMMYFUNCTION("""COMPUTED_VALUE"""),"https://www.goodreads.com/en/book/show/58087471")</f>
        <v>https://www.goodreads.com/en/book/show/58087471</v>
      </c>
    </row>
    <row r="135">
      <c r="A135" s="16">
        <f>IFERROR(__xludf.DUMMYFUNCTION("""COMPUTED_VALUE"""),44780.876830277775)</f>
        <v>44780.87683</v>
      </c>
      <c r="B135" s="13" t="str">
        <f>IFERROR(__xludf.DUMMYFUNCTION("""COMPUTED_VALUE"""),"Add new entry")</f>
        <v>Add new entry</v>
      </c>
      <c r="C135" s="17" t="str">
        <f>IFERROR(__xludf.DUMMYFUNCTION("""COMPUTED_VALUE"""),"A Very Bossy Christmas")</f>
        <v>A Very Bossy Christmas</v>
      </c>
      <c r="D135" s="18" t="str">
        <f>IFERROR(__xludf.DUMMYFUNCTION("""COMPUTED_VALUE"""),"Kayley Loring")</f>
        <v>Kayley Loring</v>
      </c>
      <c r="E135" s="18" t="str">
        <f>IFERROR(__xludf.DUMMYFUNCTION("""COMPUTED_VALUE"""),"M/F")</f>
        <v>M/F</v>
      </c>
      <c r="F135" s="18"/>
      <c r="G135" s="18"/>
      <c r="H135" s="18" t="str">
        <f>IFERROR(__xludf.DUMMYFUNCTION("""COMPUTED_VALUE"""),"Dual POV")</f>
        <v>Dual POV</v>
      </c>
      <c r="I135" s="18" t="str">
        <f>IFERROR(__xludf.DUMMYFUNCTION("""COMPUTED_VALUE"""),"Contemporary, Romantic Comedy")</f>
        <v>Contemporary, Romantic Comedy</v>
      </c>
      <c r="J135" s="18" t="str">
        <f>IFERROR(__xludf.DUMMYFUNCTION("""COMPUTED_VALUE"""),"Coworkers or Colleagues, Enemies-to-lovers (or dislike-to-love), Fake Relationship, Holidays")</f>
        <v>Coworkers or Colleagues, Enemies-to-lovers (or dislike-to-love), Fake Relationship, Holidays</v>
      </c>
      <c r="K135" s="18"/>
      <c r="L135" s="18" t="str">
        <f>IFERROR(__xludf.DUMMYFUNCTION("""COMPUTED_VALUE"""),"Level 3- Sexual content in a few chapters")</f>
        <v>Level 3- Sexual content in a few chapters</v>
      </c>
      <c r="M135" s="18"/>
      <c r="N135" s="18"/>
      <c r="O135" s="18" t="str">
        <f>IFERROR(__xludf.DUMMYFUNCTION("""COMPUTED_VALUE"""),"Very Holiday #1")</f>
        <v>Very Holiday #1</v>
      </c>
      <c r="P135" s="18"/>
      <c r="Q135" s="18"/>
      <c r="R135" s="19" t="str">
        <f>IFERROR(__xludf.DUMMYFUNCTION("""COMPUTED_VALUE"""),"No")</f>
        <v>No</v>
      </c>
      <c r="S135" s="20" t="str">
        <f>IFERROR(__xludf.DUMMYFUNCTION("""COMPUTED_VALUE"""),"https://www.goodreads.com/book/show/54959891-a-very-bossy-christmas")</f>
        <v>https://www.goodreads.com/book/show/54959891-a-very-bossy-christmas</v>
      </c>
    </row>
    <row r="136">
      <c r="A136" s="16">
        <f>IFERROR(__xludf.DUMMYFUNCTION("""COMPUTED_VALUE"""),44780.87804847222)</f>
        <v>44780.87805</v>
      </c>
      <c r="B136" s="13" t="str">
        <f>IFERROR(__xludf.DUMMYFUNCTION("""COMPUTED_VALUE"""),"Add new entry")</f>
        <v>Add new entry</v>
      </c>
      <c r="C136" s="17" t="str">
        <f>IFERROR(__xludf.DUMMYFUNCTION("""COMPUTED_VALUE"""),"Come Back to Bed")</f>
        <v>Come Back to Bed</v>
      </c>
      <c r="D136" s="18" t="str">
        <f>IFERROR(__xludf.DUMMYFUNCTION("""COMPUTED_VALUE"""),"Kayley Loring")</f>
        <v>Kayley Loring</v>
      </c>
      <c r="E136" s="18" t="str">
        <f>IFERROR(__xludf.DUMMYFUNCTION("""COMPUTED_VALUE"""),"M/F")</f>
        <v>M/F</v>
      </c>
      <c r="F136" s="18"/>
      <c r="G136" s="18"/>
      <c r="H136" s="18"/>
      <c r="I136" s="18" t="str">
        <f>IFERROR(__xludf.DUMMYFUNCTION("""COMPUTED_VALUE"""),"Contemporary")</f>
        <v>Contemporary</v>
      </c>
      <c r="J136" s="18" t="str">
        <f>IFERROR(__xludf.DUMMYFUNCTION("""COMPUTED_VALUE"""),"Art Themed- Music/Dance/Sculpture, Forced Proximity, Neighbors-to-lovers")</f>
        <v>Art Themed- Music/Dance/Sculpture, Forced Proximity, Neighbors-to-lovers</v>
      </c>
      <c r="K136" s="18"/>
      <c r="L136" s="18" t="str">
        <f>IFERROR(__xludf.DUMMYFUNCTION("""COMPUTED_VALUE"""),"Level 3- Sexual content in a few chapters")</f>
        <v>Level 3- Sexual content in a few chapters</v>
      </c>
      <c r="M136" s="18"/>
      <c r="N136" s="18"/>
      <c r="O136" s="18" t="str">
        <f>IFERROR(__xludf.DUMMYFUNCTION("""COMPUTED_VALUE"""),"The Brooklyn Book Boyfriends #2")</f>
        <v>The Brooklyn Book Boyfriends #2</v>
      </c>
      <c r="P136" s="18" t="str">
        <f>IFERROR(__xludf.DUMMYFUNCTION("""COMPUTED_VALUE"""),"Laugh, Feel feels")</f>
        <v>Laugh, Feel feels</v>
      </c>
      <c r="Q136" s="18"/>
      <c r="R136" s="19" t="str">
        <f>IFERROR(__xludf.DUMMYFUNCTION("""COMPUTED_VALUE"""),"No")</f>
        <v>No</v>
      </c>
      <c r="S136" s="20" t="str">
        <f>IFERROR(__xludf.DUMMYFUNCTION("""COMPUTED_VALUE"""),"https://www.goodreads.com/book/show/43899242-come-back-to-bed")</f>
        <v>https://www.goodreads.com/book/show/43899242-come-back-to-bed</v>
      </c>
    </row>
    <row r="137">
      <c r="A137" s="16">
        <f>IFERROR(__xludf.DUMMYFUNCTION("""COMPUTED_VALUE"""),44780.87962520833)</f>
        <v>44780.87963</v>
      </c>
      <c r="B137" s="13" t="str">
        <f>IFERROR(__xludf.DUMMYFUNCTION("""COMPUTED_VALUE"""),"Add new entry")</f>
        <v>Add new entry</v>
      </c>
      <c r="C137" s="17" t="str">
        <f>IFERROR(__xludf.DUMMYFUNCTION("""COMPUTED_VALUE"""),"Sleeper")</f>
        <v>Sleeper</v>
      </c>
      <c r="D137" s="18" t="str">
        <f>IFERROR(__xludf.DUMMYFUNCTION("""COMPUTED_VALUE"""),"Kayley Loring")</f>
        <v>Kayley Loring</v>
      </c>
      <c r="E137" s="18" t="str">
        <f>IFERROR(__xludf.DUMMYFUNCTION("""COMPUTED_VALUE"""),"M/F")</f>
        <v>M/F</v>
      </c>
      <c r="F137" s="18"/>
      <c r="G137" s="18"/>
      <c r="H137" s="18" t="str">
        <f>IFERROR(__xludf.DUMMYFUNCTION("""COMPUTED_VALUE"""),"Dual POV")</f>
        <v>Dual POV</v>
      </c>
      <c r="I137" s="18" t="str">
        <f>IFERROR(__xludf.DUMMYFUNCTION("""COMPUTED_VALUE"""),"Contemporary, Romantic Comedy")</f>
        <v>Contemporary, Romantic Comedy</v>
      </c>
      <c r="J137" s="18" t="str">
        <f>IFERROR(__xludf.DUMMYFUNCTION("""COMPUTED_VALUE"""),"Caretaker/Nanny/Governess, Celebrities- Rock star/Actor/Model, Friends-to-lovers, Single Parent")</f>
        <v>Caretaker/Nanny/Governess, Celebrities- Rock star/Actor/Model, Friends-to-lovers, Single Parent</v>
      </c>
      <c r="K137" s="18"/>
      <c r="L137" s="18" t="str">
        <f>IFERROR(__xludf.DUMMYFUNCTION("""COMPUTED_VALUE"""),"Level 3- Sexual content in a few chapters")</f>
        <v>Level 3- Sexual content in a few chapters</v>
      </c>
      <c r="M137" s="18"/>
      <c r="N137" s="18"/>
      <c r="O137" s="18" t="str">
        <f>IFERROR(__xludf.DUMMYFUNCTION("""COMPUTED_VALUE"""),"Name in Lights #1")</f>
        <v>Name in Lights #1</v>
      </c>
      <c r="P137" s="18"/>
      <c r="Q137" s="18"/>
      <c r="R137" s="19" t="str">
        <f>IFERROR(__xludf.DUMMYFUNCTION("""COMPUTED_VALUE"""),"No")</f>
        <v>No</v>
      </c>
      <c r="S137" s="20" t="str">
        <f>IFERROR(__xludf.DUMMYFUNCTION("""COMPUTED_VALUE"""),"https://www.goodreads.com/book/show/49207142-sleeper")</f>
        <v>https://www.goodreads.com/book/show/49207142-sleeper</v>
      </c>
    </row>
    <row r="138">
      <c r="A138" s="16">
        <f>IFERROR(__xludf.DUMMYFUNCTION("""COMPUTED_VALUE"""),44780.88171553241)</f>
        <v>44780.88172</v>
      </c>
      <c r="B138" s="13" t="str">
        <f>IFERROR(__xludf.DUMMYFUNCTION("""COMPUTED_VALUE"""),"Add new entry")</f>
        <v>Add new entry</v>
      </c>
      <c r="C138" s="17" t="str">
        <f>IFERROR(__xludf.DUMMYFUNCTION("""COMPUTED_VALUE"""),"Kidnapped by the Pirate")</f>
        <v>Kidnapped by the Pirate</v>
      </c>
      <c r="D138" s="18" t="str">
        <f>IFERROR(__xludf.DUMMYFUNCTION("""COMPUTED_VALUE"""),"Keira Andrews")</f>
        <v>Keira Andrews</v>
      </c>
      <c r="E138" s="18" t="str">
        <f>IFERROR(__xludf.DUMMYFUNCTION("""COMPUTED_VALUE"""),"M/M")</f>
        <v>M/M</v>
      </c>
      <c r="F138" s="18" t="str">
        <f>IFERROR(__xludf.DUMMYFUNCTION("""COMPUTED_VALUE"""),"LGBTQIA+ &amp; GSM (Gender and Sexual Minorities)")</f>
        <v>LGBTQIA+ &amp; GSM (Gender and Sexual Minorities)</v>
      </c>
      <c r="G138" s="18"/>
      <c r="H138" s="18" t="str">
        <f>IFERROR(__xludf.DUMMYFUNCTION("""COMPUTED_VALUE"""),"Dual POV")</f>
        <v>Dual POV</v>
      </c>
      <c r="I138" s="18" t="str">
        <f>IFERROR(__xludf.DUMMYFUNCTION("""COMPUTED_VALUE"""),"Adventure, Erotic Romance, Historical Romance")</f>
        <v>Adventure, Erotic Romance, Historical Romance</v>
      </c>
      <c r="J138" s="18" t="str">
        <f>IFERROR(__xludf.DUMMYFUNCTION("""COMPUTED_VALUE"""),"Age Difference, Enemies-to-lovers (or dislike-to-love), Forced Proximity, Hurt/Comfort, Relationship Coach-  (ie; Teach me how to kiss), Mature (35 and over), Nautical- Sailor/Pirate/Privateer, Regency, Sweet MC- beta hero/kindhearted heroine/etc, Tattoos"&amp;" &amp; Piercings")</f>
        <v>Age Difference, Enemies-to-lovers (or dislike-to-love), Forced Proximity, Hurt/Comfort, Relationship Coach-  (ie; Teach me how to kiss), Mature (35 and over), Nautical- Sailor/Pirate/Privateer, Regency, Sweet MC- beta hero/kindhearted heroine/etc, Tattoos &amp; Piercings</v>
      </c>
      <c r="K138" s="18"/>
      <c r="L138" s="18" t="str">
        <f>IFERROR(__xludf.DUMMYFUNCTION("""COMPUTED_VALUE"""),"Level 4- Heavy sexual content, mature audiences only")</f>
        <v>Level 4- Heavy sexual content, mature audiences only</v>
      </c>
      <c r="M138" s="18"/>
      <c r="N138" s="18" t="str">
        <f>IFERROR(__xludf.DUMMYFUNCTION("""COMPUTED_VALUE"""),"Standalone (not part of a series)")</f>
        <v>Standalone (not part of a series)</v>
      </c>
      <c r="O138" s="18"/>
      <c r="P138" s="18" t="str">
        <f>IFERROR(__xludf.DUMMYFUNCTION("""COMPUTED_VALUE"""),"Swoon, Tingle, Feel feels, Dream")</f>
        <v>Swoon, Tingle, Feel feels, Dream</v>
      </c>
      <c r="Q138" s="18"/>
      <c r="R138" s="19" t="str">
        <f>IFERROR(__xludf.DUMMYFUNCTION("""COMPUTED_VALUE"""),"No")</f>
        <v>No</v>
      </c>
      <c r="S138" s="20" t="str">
        <f>IFERROR(__xludf.DUMMYFUNCTION("""COMPUTED_VALUE"""),"https://www.goodreads.com/book/show/36436294-kidnapped-by-the-pirate")</f>
        <v>https://www.goodreads.com/book/show/36436294-kidnapped-by-the-pirate</v>
      </c>
    </row>
    <row r="139">
      <c r="A139" s="16">
        <f>IFERROR(__xludf.DUMMYFUNCTION("""COMPUTED_VALUE"""),44887.79677127315)</f>
        <v>44887.79677</v>
      </c>
      <c r="B139" s="13" t="str">
        <f>IFERROR(__xludf.DUMMYFUNCTION("""COMPUTED_VALUE"""),"Add new entry")</f>
        <v>Add new entry</v>
      </c>
      <c r="C139" s="17" t="str">
        <f>IFERROR(__xludf.DUMMYFUNCTION("""COMPUTED_VALUE"""),"Honeymoon for One")</f>
        <v>Honeymoon for One</v>
      </c>
      <c r="D139" s="18" t="str">
        <f>IFERROR(__xludf.DUMMYFUNCTION("""COMPUTED_VALUE"""),"Keira Andrews")</f>
        <v>Keira Andrews</v>
      </c>
      <c r="E139" s="18" t="str">
        <f>IFERROR(__xludf.DUMMYFUNCTION("""COMPUTED_VALUE"""),"M/M")</f>
        <v>M/M</v>
      </c>
      <c r="F139" s="18" t="str">
        <f>IFERROR(__xludf.DUMMYFUNCTION("""COMPUTED_VALUE"""),"LGBTQIA+ &amp; GSM (Gender and Sexual Minorities)")</f>
        <v>LGBTQIA+ &amp; GSM (Gender and Sexual Minorities)</v>
      </c>
      <c r="G139" s="18"/>
      <c r="H139" s="18"/>
      <c r="I139" s="18" t="str">
        <f>IFERROR(__xludf.DUMMYFUNCTION("""COMPUTED_VALUE"""),"Contemporary")</f>
        <v>Contemporary</v>
      </c>
      <c r="J139" s="18" t="str">
        <f>IFERROR(__xludf.DUMMYFUNCTION("""COMPUTED_VALUE"""),"Age Difference, Angst, Hurt/Comfort, Pining/Yearning, Road Trip/Travel, Sweet MC- beta hero/kindhearted heroine/etc")</f>
        <v>Age Difference, Angst, Hurt/Comfort, Pining/Yearning, Road Trip/Travel, Sweet MC- beta hero/kindhearted heroine/etc</v>
      </c>
      <c r="K139" s="18" t="str">
        <f>IFERROR(__xludf.DUMMYFUNCTION("""COMPUTED_VALUE"""),"Australia &amp; NZ, North America")</f>
        <v>Australia &amp; NZ, North America</v>
      </c>
      <c r="L139" s="18" t="str">
        <f>IFERROR(__xludf.DUMMYFUNCTION("""COMPUTED_VALUE"""),"Level 3- Sexual content in a few chapters")</f>
        <v>Level 3- Sexual content in a few chapters</v>
      </c>
      <c r="M139" s="18" t="str">
        <f>IFERROR(__xludf.DUMMYFUNCTION("""COMPUTED_VALUE"""),"Anal sex, Oral sex - fellatio")</f>
        <v>Anal sex, Oral sex - fellatio</v>
      </c>
      <c r="N139" s="18" t="str">
        <f>IFERROR(__xludf.DUMMYFUNCTION("""COMPUTED_VALUE"""),"Standalone (not part of a series)")</f>
        <v>Standalone (not part of a series)</v>
      </c>
      <c r="O139" s="18"/>
      <c r="P139" s="18" t="str">
        <f>IFERROR(__xludf.DUMMYFUNCTION("""COMPUTED_VALUE"""),"Cry, Feel feels")</f>
        <v>Cry, Feel feels</v>
      </c>
      <c r="Q139" s="18"/>
      <c r="R139" s="19" t="str">
        <f>IFERROR(__xludf.DUMMYFUNCTION("""COMPUTED_VALUE"""),"No")</f>
        <v>No</v>
      </c>
      <c r="S139" s="20" t="str">
        <f>IFERROR(__xludf.DUMMYFUNCTION("""COMPUTED_VALUE"""),"https://www.goodreads.com/book/show/41959108-honeymoon-for-one")</f>
        <v>https://www.goodreads.com/book/show/41959108-honeymoon-for-one</v>
      </c>
    </row>
    <row r="140">
      <c r="A140" s="16">
        <f>IFERROR(__xludf.DUMMYFUNCTION("""COMPUTED_VALUE"""),44780.88408131944)</f>
        <v>44780.88408</v>
      </c>
      <c r="B140" s="13" t="str">
        <f>IFERROR(__xludf.DUMMYFUNCTION("""COMPUTED_VALUE"""),"Add new entry")</f>
        <v>Add new entry</v>
      </c>
      <c r="C140" s="17" t="str">
        <f>IFERROR(__xludf.DUMMYFUNCTION("""COMPUTED_VALUE"""),"Reject Me")</f>
        <v>Reject Me</v>
      </c>
      <c r="D140" s="18" t="str">
        <f>IFERROR(__xludf.DUMMYFUNCTION("""COMPUTED_VALUE"""),"Kel Carpenter &amp; Aurelia Jane")</f>
        <v>Kel Carpenter &amp; Aurelia Jane</v>
      </c>
      <c r="E140" s="18" t="str">
        <f>IFERROR(__xludf.DUMMYFUNCTION("""COMPUTED_VALUE"""),"M/F")</f>
        <v>M/F</v>
      </c>
      <c r="F140" s="18"/>
      <c r="G140" s="18"/>
      <c r="H140" s="18" t="str">
        <f>IFERROR(__xludf.DUMMYFUNCTION("""COMPUTED_VALUE"""),"Dual POV")</f>
        <v>Dual POV</v>
      </c>
      <c r="I140" s="18" t="str">
        <f>IFERROR(__xludf.DUMMYFUNCTION("""COMPUTED_VALUE"""),"Fantasy &amp; Gothic, Military or Security, Paranormal")</f>
        <v>Fantasy &amp; Gothic, Military or Security, Paranormal</v>
      </c>
      <c r="J140" s="18" t="str">
        <f>IFERROR(__xludf.DUMMYFUNCTION("""COMPUTED_VALUE"""),"Angst, Creatures or Monsters- Dragon/Orc/Fae/etc, Fake Relationship, Fated Mates, Marriage of Convenience (or arranged marriage), Shifter/Wereperson, Vampire, Undead etc, Wounded Hero/Heroine &amp; War Heroes/Heroines")</f>
        <v>Angst, Creatures or Monsters- Dragon/Orc/Fae/etc, Fake Relationship, Fated Mates, Marriage of Convenience (or arranged marriage), Shifter/Wereperson, Vampire, Undead etc, Wounded Hero/Heroine &amp; War Heroes/Heroines</v>
      </c>
      <c r="K140" s="18"/>
      <c r="L140" s="18" t="str">
        <f>IFERROR(__xludf.DUMMYFUNCTION("""COMPUTED_VALUE"""),"Level 4- Heavy sexual content, mature audiences only")</f>
        <v>Level 4- Heavy sexual content, mature audiences only</v>
      </c>
      <c r="M140" s="18"/>
      <c r="N140" s="18" t="str">
        <f>IFERROR(__xludf.DUMMYFUNCTION("""COMPUTED_VALUE"""),"Series- can be read as standalones")</f>
        <v>Series- can be read as standalones</v>
      </c>
      <c r="O140" s="18" t="str">
        <f>IFERROR(__xludf.DUMMYFUNCTION("""COMPUTED_VALUE"""),"Immortal Vices and Virtues #1")</f>
        <v>Immortal Vices and Virtues #1</v>
      </c>
      <c r="P140" s="18" t="str">
        <f>IFERROR(__xludf.DUMMYFUNCTION("""COMPUTED_VALUE"""),"Laugh, Cry")</f>
        <v>Laugh, Cry</v>
      </c>
      <c r="Q140" s="18"/>
      <c r="R140" s="19" t="str">
        <f>IFERROR(__xludf.DUMMYFUNCTION("""COMPUTED_VALUE"""),"No")</f>
        <v>No</v>
      </c>
      <c r="S140" s="20" t="str">
        <f>IFERROR(__xludf.DUMMYFUNCTION("""COMPUTED_VALUE"""),"https://www.goodreads.com/book/show/60586540-reject-me")</f>
        <v>https://www.goodreads.com/book/show/60586540-reject-me</v>
      </c>
    </row>
    <row r="141">
      <c r="A141" s="16">
        <f>IFERROR(__xludf.DUMMYFUNCTION("""COMPUTED_VALUE"""),45449.805206122684)</f>
        <v>45449.80521</v>
      </c>
      <c r="B141" s="13" t="str">
        <f>IFERROR(__xludf.DUMMYFUNCTION("""COMPUTED_VALUE"""),"Add new entry")</f>
        <v>Add new entry</v>
      </c>
      <c r="C141" s="17" t="str">
        <f>IFERROR(__xludf.DUMMYFUNCTION("""COMPUTED_VALUE"""),"A Rip Through Time")</f>
        <v>A Rip Through Time</v>
      </c>
      <c r="D141" s="18" t="str">
        <f>IFERROR(__xludf.DUMMYFUNCTION("""COMPUTED_VALUE"""),"Kelley Armstrong")</f>
        <v>Kelley Armstrong</v>
      </c>
      <c r="E141" s="18" t="str">
        <f>IFERROR(__xludf.DUMMYFUNCTION("""COMPUTED_VALUE"""),"M/F")</f>
        <v>M/F</v>
      </c>
      <c r="F141" s="18"/>
      <c r="G141" s="18" t="str">
        <f>IFERROR(__xludf.DUMMYFUNCTION("""COMPUTED_VALUE"""),"A modern-day homicide detective time travels to Victorian Scotland in someone else's body to catch a serial killer. Note that book 1 is very light on romance and mostly mystery/suspense. First book in a series. ")</f>
        <v>A modern-day homicide detective time travels to Victorian Scotland in someone else's body to catch a serial killer. Note that book 1 is very light on romance and mostly mystery/suspense. First book in a series. </v>
      </c>
      <c r="H141" s="18"/>
      <c r="I141" s="18" t="str">
        <f>IFERROR(__xludf.DUMMYFUNCTION("""COMPUTED_VALUE"""),"Adventure, Historical Romance, Romantic Suspense")</f>
        <v>Adventure, Historical Romance, Romantic Suspense</v>
      </c>
      <c r="J141" s="18" t="str">
        <f>IFERROR(__xludf.DUMMYFUNCTION("""COMPUTED_VALUE"""),"Class Differences, Off Limits (ie; Brother's Best Friend), Pining/Yearning, Slow Burn, Time Travel, Victorian")</f>
        <v>Class Differences, Off Limits (ie; Brother's Best Friend), Pining/Yearning, Slow Burn, Time Travel, Victorian</v>
      </c>
      <c r="K141" s="18" t="str">
        <f>IFERROR(__xludf.DUMMYFUNCTION("""COMPUTED_VALUE"""),"North America")</f>
        <v>North America</v>
      </c>
      <c r="L141" s="18" t="str">
        <f>IFERROR(__xludf.DUMMYFUNCTION("""COMPUTED_VALUE"""),"Level 1- Kisses only, no mention of sex")</f>
        <v>Level 1- Kisses only, no mention of sex</v>
      </c>
      <c r="M141" s="18"/>
      <c r="N141" s="18"/>
      <c r="O141" s="18" t="str">
        <f>IFERROR(__xludf.DUMMYFUNCTION("""COMPUTED_VALUE"""),"A Rip Through Time #1")</f>
        <v>A Rip Through Time #1</v>
      </c>
      <c r="P141" s="18" t="str">
        <f>IFERROR(__xludf.DUMMYFUNCTION("""COMPUTED_VALUE"""),"Feel feels, Transported")</f>
        <v>Feel feels, Transported</v>
      </c>
      <c r="Q141" s="18"/>
      <c r="R141" s="19" t="str">
        <f>IFERROR(__xludf.DUMMYFUNCTION("""COMPUTED_VALUE"""),"No")</f>
        <v>No</v>
      </c>
      <c r="S141" s="20" t="str">
        <f>IFERROR(__xludf.DUMMYFUNCTION("""COMPUTED_VALUE"""),"https://www.goodreads.com/book/show/58724944-a-rip-through-time")</f>
        <v>https://www.goodreads.com/book/show/58724944-a-rip-through-time</v>
      </c>
    </row>
    <row r="142">
      <c r="A142" s="16">
        <f>IFERROR(__xludf.DUMMYFUNCTION("""COMPUTED_VALUE"""),45130.8033799537)</f>
        <v>45130.80338</v>
      </c>
      <c r="B142" s="13" t="str">
        <f>IFERROR(__xludf.DUMMYFUNCTION("""COMPUTED_VALUE"""),"Add new entry")</f>
        <v>Add new entry</v>
      </c>
      <c r="C142" s="17" t="str">
        <f>IFERROR(__xludf.DUMMYFUNCTION("""COMPUTED_VALUE"""),"Shifter Wars")</f>
        <v>Shifter Wars</v>
      </c>
      <c r="D142" s="18" t="str">
        <f>IFERROR(__xludf.DUMMYFUNCTION("""COMPUTED_VALUE"""),"Kelly St Clare")</f>
        <v>Kelly St Clare</v>
      </c>
      <c r="E142" s="18" t="str">
        <f>IFERROR(__xludf.DUMMYFUNCTION("""COMPUTED_VALUE"""),"M/F")</f>
        <v>M/F</v>
      </c>
      <c r="F142" s="18"/>
      <c r="G142" s="18"/>
      <c r="H142" s="18" t="str">
        <f>IFERROR(__xludf.DUMMYFUNCTION("""COMPUTED_VALUE"""),"Single POV")</f>
        <v>Single POV</v>
      </c>
      <c r="I142" s="18" t="str">
        <f>IFERROR(__xludf.DUMMYFUNCTION("""COMPUTED_VALUE"""),"Fantasy, New Adult (NA), Paranormal")</f>
        <v>Fantasy, New Adult (NA), Paranormal</v>
      </c>
      <c r="J142" s="18" t="str">
        <f>IFERROR(__xludf.DUMMYFUNCTION("""COMPUTED_VALUE"""),"Age Difference, Enemies-to-lovers (or dislike-to-love), Fated Mates, Forbidden or Taboo, Insta-lust/Insta-love/Insta-coffee, Outdoorsy- forest/hiking/camping etc, Shifter/Wereperson, Slow Burn, Small Town")</f>
        <v>Age Difference, Enemies-to-lovers (or dislike-to-love), Fated Mates, Forbidden or Taboo, Insta-lust/Insta-love/Insta-coffee, Outdoorsy- forest/hiking/camping etc, Shifter/Wereperson, Slow Burn, Small Town</v>
      </c>
      <c r="K142" s="18" t="str">
        <f>IFERROR(__xludf.DUMMYFUNCTION("""COMPUTED_VALUE"""),"North America")</f>
        <v>North America</v>
      </c>
      <c r="L142" s="18" t="str">
        <f>IFERROR(__xludf.DUMMYFUNCTION("""COMPUTED_VALUE"""),"Level 3- Sexual content in a few chapters")</f>
        <v>Level 3- Sexual content in a few chapters</v>
      </c>
      <c r="M142" s="18"/>
      <c r="N142" s="18" t="str">
        <f>IFERROR(__xludf.DUMMYFUNCTION("""COMPUTED_VALUE"""),"Series- follows one couple")</f>
        <v>Series- follows one couple</v>
      </c>
      <c r="O142" s="18" t="str">
        <f>IFERROR(__xludf.DUMMYFUNCTION("""COMPUTED_VALUE"""),"Werewolf Dens Trilogy")</f>
        <v>Werewolf Dens Trilogy</v>
      </c>
      <c r="P142" s="18" t="str">
        <f>IFERROR(__xludf.DUMMYFUNCTION("""COMPUTED_VALUE"""),"Swoon, Feel feels")</f>
        <v>Swoon, Feel feels</v>
      </c>
      <c r="Q142" s="18"/>
      <c r="R142" s="19" t="str">
        <f>IFERROR(__xludf.DUMMYFUNCTION("""COMPUTED_VALUE"""),"No")</f>
        <v>No</v>
      </c>
      <c r="S142" s="20" t="str">
        <f>IFERROR(__xludf.DUMMYFUNCTION("""COMPUTED_VALUE"""),"https://www.goodreads.com/book/show/55453297")</f>
        <v>https://www.goodreads.com/book/show/55453297</v>
      </c>
    </row>
    <row r="143">
      <c r="A143" s="16">
        <f>IFERROR(__xludf.DUMMYFUNCTION("""COMPUTED_VALUE"""),44976.184199965275)</f>
        <v>44976.1842</v>
      </c>
      <c r="B143" s="13" t="str">
        <f>IFERROR(__xludf.DUMMYFUNCTION("""COMPUTED_VALUE"""),"Add new entry")</f>
        <v>Add new entry</v>
      </c>
      <c r="C143" s="17" t="str">
        <f>IFERROR(__xludf.DUMMYFUNCTION("""COMPUTED_VALUE"""),"Water Under the Bridge")</f>
        <v>Water Under the Bridge</v>
      </c>
      <c r="D143" s="18" t="str">
        <f>IFERROR(__xludf.DUMMYFUNCTION("""COMPUTED_VALUE"""),"Kels and Denise Stone")</f>
        <v>Kels and Denise Stone</v>
      </c>
      <c r="E143" s="18" t="str">
        <f>IFERROR(__xludf.DUMMYFUNCTION("""COMPUTED_VALUE"""),"M/F")</f>
        <v>M/F</v>
      </c>
      <c r="F143" s="18" t="str">
        <f>IFERROR(__xludf.DUMMYFUNCTION("""COMPUTED_VALUE"""),"BIPoC (Black, Indigenous, People of Colour)")</f>
        <v>BIPoC (Black, Indigenous, People of Colour)</v>
      </c>
      <c r="G143" s="18"/>
      <c r="H143" s="18" t="str">
        <f>IFERROR(__xludf.DUMMYFUNCTION("""COMPUTED_VALUE"""),"Dual POV")</f>
        <v>Dual POV</v>
      </c>
      <c r="I143" s="18" t="str">
        <f>IFERROR(__xludf.DUMMYFUNCTION("""COMPUTED_VALUE"""),"Contemporary, Romantic Comedy")</f>
        <v>Contemporary, Romantic Comedy</v>
      </c>
      <c r="J143" s="18" t="str">
        <f>IFERROR(__xludf.DUMMYFUNCTION("""COMPUTED_VALUE"""),"Coworkers or Colleagues")</f>
        <v>Coworkers or Colleagues</v>
      </c>
      <c r="K143" s="18"/>
      <c r="L143" s="18"/>
      <c r="M143" s="18"/>
      <c r="N143" s="18" t="str">
        <f>IFERROR(__xludf.DUMMYFUNCTION("""COMPUTED_VALUE"""),"Series- can be read as standalones")</f>
        <v>Series- can be read as standalones</v>
      </c>
      <c r="O143" s="18" t="str">
        <f>IFERROR(__xludf.DUMMYFUNCTION("""COMPUTED_VALUE"""),"Perks and Benefits")</f>
        <v>Perks and Benefits</v>
      </c>
      <c r="P143" s="18" t="str">
        <f>IFERROR(__xludf.DUMMYFUNCTION("""COMPUTED_VALUE"""),"Swoon, Tingle, Laugh, Feel feels, Learn")</f>
        <v>Swoon, Tingle, Laugh, Feel feels, Learn</v>
      </c>
      <c r="Q143" s="18"/>
      <c r="R143" s="19" t="str">
        <f>IFERROR(__xludf.DUMMYFUNCTION("""COMPUTED_VALUE"""),"No")</f>
        <v>No</v>
      </c>
      <c r="S143" s="20" t="str">
        <f>IFERROR(__xludf.DUMMYFUNCTION("""COMPUTED_VALUE"""),"https://www.goodreads.com/en/book/show/61968684")</f>
        <v>https://www.goodreads.com/en/book/show/61968684</v>
      </c>
    </row>
    <row r="144">
      <c r="A144" s="16">
        <f>IFERROR(__xludf.DUMMYFUNCTION("""COMPUTED_VALUE"""),44896.33173980324)</f>
        <v>44896.33174</v>
      </c>
      <c r="B144" s="13" t="str">
        <f>IFERROR(__xludf.DUMMYFUNCTION("""COMPUTED_VALUE"""),"Add new entry")</f>
        <v>Add new entry</v>
      </c>
      <c r="C144" s="17" t="str">
        <f>IFERROR(__xludf.DUMMYFUNCTION("""COMPUTED_VALUE"""),"Confessions of the Ugly Fat Friend")</f>
        <v>Confessions of the Ugly Fat Friend</v>
      </c>
      <c r="D144" s="18" t="str">
        <f>IFERROR(__xludf.DUMMYFUNCTION("""COMPUTED_VALUE"""),"Kelsie Hoss")</f>
        <v>Kelsie Hoss</v>
      </c>
      <c r="E144" s="18" t="str">
        <f>IFERROR(__xludf.DUMMYFUNCTION("""COMPUTED_VALUE"""),"M/F")</f>
        <v>M/F</v>
      </c>
      <c r="F144" s="18" t="str">
        <f>IFERROR(__xludf.DUMMYFUNCTION("""COMPUTED_VALUE"""),"BIPoC (Black, Indigenous, People of Colour), Fat/Plus Size/Body Positive")</f>
        <v>BIPoC (Black, Indigenous, People of Colour), Fat/Plus Size/Body Positive</v>
      </c>
      <c r="G144" s="18"/>
      <c r="H144" s="18" t="str">
        <f>IFERROR(__xludf.DUMMYFUNCTION("""COMPUTED_VALUE"""),"Dual POV")</f>
        <v>Dual POV</v>
      </c>
      <c r="I144" s="18" t="str">
        <f>IFERROR(__xludf.DUMMYFUNCTION("""COMPUTED_VALUE"""),"Contemporary, Romantic Comedy")</f>
        <v>Contemporary, Romantic Comedy</v>
      </c>
      <c r="J144" s="18" t="str">
        <f>IFERROR(__xludf.DUMMYFUNCTION("""COMPUTED_VALUE"""),"Coworkers or Colleagues, Friends-to-lovers, Pining/Yearning, Slow Burn")</f>
        <v>Coworkers or Colleagues, Friends-to-lovers, Pining/Yearning, Slow Burn</v>
      </c>
      <c r="K144" s="18" t="str">
        <f>IFERROR(__xludf.DUMMYFUNCTION("""COMPUTED_VALUE"""),"North America")</f>
        <v>North America</v>
      </c>
      <c r="L144" s="18" t="str">
        <f>IFERROR(__xludf.DUMMYFUNCTION("""COMPUTED_VALUE"""),"Level 3- Sexual content in a few chapters")</f>
        <v>Level 3- Sexual content in a few chapters</v>
      </c>
      <c r="M144" s="18" t="str">
        <f>IFERROR(__xludf.DUMMYFUNCTION("""COMPUTED_VALUE"""),"Dirty Talk")</f>
        <v>Dirty Talk</v>
      </c>
      <c r="N144" s="18" t="str">
        <f>IFERROR(__xludf.DUMMYFUNCTION("""COMPUTED_VALUE"""),"Series- can be read as standalones")</f>
        <v>Series- can be read as standalones</v>
      </c>
      <c r="O144" s="18"/>
      <c r="P144" s="18" t="str">
        <f>IFERROR(__xludf.DUMMYFUNCTION("""COMPUTED_VALUE"""),"Swoon, Laugh, Feel feels")</f>
        <v>Swoon, Laugh, Feel feels</v>
      </c>
      <c r="Q144" s="18"/>
      <c r="R144" s="19" t="str">
        <f>IFERROR(__xludf.DUMMYFUNCTION("""COMPUTED_VALUE"""),"No")</f>
        <v>No</v>
      </c>
      <c r="S144" s="20" t="str">
        <f>IFERROR(__xludf.DUMMYFUNCTION("""COMPUTED_VALUE"""),"https://www.goodreads.com/book/show/61091344")</f>
        <v>https://www.goodreads.com/book/show/61091344</v>
      </c>
    </row>
    <row r="145">
      <c r="A145" s="16">
        <f>IFERROR(__xludf.DUMMYFUNCTION("""COMPUTED_VALUE"""),44780.885679756946)</f>
        <v>44780.88568</v>
      </c>
      <c r="B145" s="13" t="str">
        <f>IFERROR(__xludf.DUMMYFUNCTION("""COMPUTED_VALUE"""),"Add new entry")</f>
        <v>Add new entry</v>
      </c>
      <c r="C145" s="17" t="str">
        <f>IFERROR(__xludf.DUMMYFUNCTION("""COMPUTED_VALUE"""),"Block Shot")</f>
        <v>Block Shot</v>
      </c>
      <c r="D145" s="18" t="str">
        <f>IFERROR(__xludf.DUMMYFUNCTION("""COMPUTED_VALUE"""),"Kennedy Ryan")</f>
        <v>Kennedy Ryan</v>
      </c>
      <c r="E145" s="18" t="str">
        <f>IFERROR(__xludf.DUMMYFUNCTION("""COMPUTED_VALUE"""),"M/F")</f>
        <v>M/F</v>
      </c>
      <c r="F145" s="18" t="str">
        <f>IFERROR(__xludf.DUMMYFUNCTION("""COMPUTED_VALUE"""),"BIPoC (Black, Indigenous, People of Colour)")</f>
        <v>BIPoC (Black, Indigenous, People of Colour)</v>
      </c>
      <c r="G145" s="18"/>
      <c r="H145" s="18" t="str">
        <f>IFERROR(__xludf.DUMMYFUNCTION("""COMPUTED_VALUE"""),"Dual POV, First person")</f>
        <v>Dual POV, First person</v>
      </c>
      <c r="I145" s="18" t="str">
        <f>IFERROR(__xludf.DUMMYFUNCTION("""COMPUTED_VALUE"""),"Contemporary, Sports Romance")</f>
        <v>Contemporary, Sports Romance</v>
      </c>
      <c r="J145" s="18" t="str">
        <f>IFERROR(__xludf.DUMMYFUNCTION("""COMPUTED_VALUE"""),"Angst, Enemies-to-lovers (or dislike-to-love), Love Triangle, Second Chance")</f>
        <v>Angst, Enemies-to-lovers (or dislike-to-love), Love Triangle, Second Chance</v>
      </c>
      <c r="K145" s="18"/>
      <c r="L145" s="18" t="str">
        <f>IFERROR(__xludf.DUMMYFUNCTION("""COMPUTED_VALUE"""),"Level 3- Sexual content in a few chapters")</f>
        <v>Level 3- Sexual content in a few chapters</v>
      </c>
      <c r="M145" s="18"/>
      <c r="N145" s="18" t="str">
        <f>IFERROR(__xludf.DUMMYFUNCTION("""COMPUTED_VALUE"""),"Series- can be read as standalones")</f>
        <v>Series- can be read as standalones</v>
      </c>
      <c r="O145" s="18" t="str">
        <f>IFERROR(__xludf.DUMMYFUNCTION("""COMPUTED_VALUE"""),"Hoops #2")</f>
        <v>Hoops #2</v>
      </c>
      <c r="P145" s="18" t="str">
        <f>IFERROR(__xludf.DUMMYFUNCTION("""COMPUTED_VALUE"""),"Swoon, Tingle, Laugh, Feel feels")</f>
        <v>Swoon, Tingle, Laugh, Feel feels</v>
      </c>
      <c r="Q145" s="18"/>
      <c r="R145" s="19" t="str">
        <f>IFERROR(__xludf.DUMMYFUNCTION("""COMPUTED_VALUE"""),"No")</f>
        <v>No</v>
      </c>
      <c r="S145" s="20" t="str">
        <f>IFERROR(__xludf.DUMMYFUNCTION("""COMPUTED_VALUE"""),"https://www.goodreads.com/book/show/41746595-block-shot")</f>
        <v>https://www.goodreads.com/book/show/41746595-block-shot</v>
      </c>
    </row>
    <row r="146">
      <c r="A146" s="16">
        <f>IFERROR(__xludf.DUMMYFUNCTION("""COMPUTED_VALUE"""),44780.88781658565)</f>
        <v>44780.88782</v>
      </c>
      <c r="B146" s="13" t="str">
        <f>IFERROR(__xludf.DUMMYFUNCTION("""COMPUTED_VALUE"""),"Add new entry")</f>
        <v>Add new entry</v>
      </c>
      <c r="C146" s="17" t="str">
        <f>IFERROR(__xludf.DUMMYFUNCTION("""COMPUTED_VALUE"""),"The Kingmaker")</f>
        <v>The Kingmaker</v>
      </c>
      <c r="D146" s="18" t="str">
        <f>IFERROR(__xludf.DUMMYFUNCTION("""COMPUTED_VALUE"""),"Kennedy Ryan")</f>
        <v>Kennedy Ryan</v>
      </c>
      <c r="E146" s="18" t="str">
        <f>IFERROR(__xludf.DUMMYFUNCTION("""COMPUTED_VALUE"""),"M/F")</f>
        <v>M/F</v>
      </c>
      <c r="F146" s="18" t="str">
        <f>IFERROR(__xludf.DUMMYFUNCTION("""COMPUTED_VALUE"""),"BIPoC (Black, Indigenous, People of Colour)")</f>
        <v>BIPoC (Black, Indigenous, People of Colour)</v>
      </c>
      <c r="G146" s="18"/>
      <c r="H146" s="18" t="str">
        <f>IFERROR(__xludf.DUMMYFUNCTION("""COMPUTED_VALUE"""),"Dual POV")</f>
        <v>Dual POV</v>
      </c>
      <c r="I146" s="18" t="str">
        <f>IFERROR(__xludf.DUMMYFUNCTION("""COMPUTED_VALUE"""),"Contemporary, Multicultural/Interracial")</f>
        <v>Contemporary, Multicultural/Interracial</v>
      </c>
      <c r="J146" s="18" t="str">
        <f>IFERROR(__xludf.DUMMYFUNCTION("""COMPUTED_VALUE"""),"Age Difference, Billionaires/Millionaires/Gazillionaires etc, Class Differences, Political")</f>
        <v>Age Difference, Billionaires/Millionaires/Gazillionaires etc, Class Differences, Political</v>
      </c>
      <c r="K146" s="18"/>
      <c r="L146" s="18" t="str">
        <f>IFERROR(__xludf.DUMMYFUNCTION("""COMPUTED_VALUE"""),"Level 3- Sexual content in a few chapters")</f>
        <v>Level 3- Sexual content in a few chapters</v>
      </c>
      <c r="M146" s="18"/>
      <c r="N146" s="18"/>
      <c r="O146" s="18" t="str">
        <f>IFERROR(__xludf.DUMMYFUNCTION("""COMPUTED_VALUE"""),"All The King's Men #1")</f>
        <v>All The King's Men #1</v>
      </c>
      <c r="P146" s="18" t="str">
        <f>IFERROR(__xludf.DUMMYFUNCTION("""COMPUTED_VALUE"""),"Swoon, Tingle, Cry, Feel feels, Dream, Learn, Inspired")</f>
        <v>Swoon, Tingle, Cry, Feel feels, Dream, Learn, Inspired</v>
      </c>
      <c r="Q146" s="18"/>
      <c r="R146" s="19" t="str">
        <f>IFERROR(__xludf.DUMMYFUNCTION("""COMPUTED_VALUE"""),"No")</f>
        <v>No</v>
      </c>
      <c r="S146" s="20" t="str">
        <f>IFERROR(__xludf.DUMMYFUNCTION("""COMPUTED_VALUE"""),"https://www.goodreads.com/book/show/45024651-the-kingmaker")</f>
        <v>https://www.goodreads.com/book/show/45024651-the-kingmaker</v>
      </c>
    </row>
    <row r="147">
      <c r="A147" s="16">
        <f>IFERROR(__xludf.DUMMYFUNCTION("""COMPUTED_VALUE"""),44780.891352094906)</f>
        <v>44780.89135</v>
      </c>
      <c r="B147" s="13" t="str">
        <f>IFERROR(__xludf.DUMMYFUNCTION("""COMPUTED_VALUE"""),"Add new entry")</f>
        <v>Add new entry</v>
      </c>
      <c r="C147" s="17" t="str">
        <f>IFERROR(__xludf.DUMMYFUNCTION("""COMPUTED_VALUE"""),"Master of Salt &amp; Bones")</f>
        <v>Master of Salt &amp; Bones</v>
      </c>
      <c r="D147" s="18" t="str">
        <f>IFERROR(__xludf.DUMMYFUNCTION("""COMPUTED_VALUE"""),"Keri Lake")</f>
        <v>Keri Lake</v>
      </c>
      <c r="E147" s="18" t="str">
        <f>IFERROR(__xludf.DUMMYFUNCTION("""COMPUTED_VALUE"""),"M/F")</f>
        <v>M/F</v>
      </c>
      <c r="F147" s="18"/>
      <c r="G147" s="18"/>
      <c r="H147" s="18" t="str">
        <f>IFERROR(__xludf.DUMMYFUNCTION("""COMPUTED_VALUE"""),"Dual POV")</f>
        <v>Dual POV</v>
      </c>
      <c r="I147" s="18" t="str">
        <f>IFERROR(__xludf.DUMMYFUNCTION("""COMPUTED_VALUE"""),"Fantasy &amp; Gothic")</f>
        <v>Fantasy &amp; Gothic</v>
      </c>
      <c r="J147" s="18" t="str">
        <f>IFERROR(__xludf.DUMMYFUNCTION("""COMPUTED_VALUE"""),"Age Difference, Angst, Billionaires/Millionaires/Gazillionaires etc, Class Differences, Enemies-to-lovers (or dislike-to-love), Friends-to-lovers, Small Town")</f>
        <v>Age Difference, Angst, Billionaires/Millionaires/Gazillionaires etc, Class Differences, Enemies-to-lovers (or dislike-to-love), Friends-to-lovers, Small Town</v>
      </c>
      <c r="K147" s="18"/>
      <c r="L147" s="18" t="str">
        <f>IFERROR(__xludf.DUMMYFUNCTION("""COMPUTED_VALUE"""),"Level 3- Sexual content in a few chapters")</f>
        <v>Level 3- Sexual content in a few chapters</v>
      </c>
      <c r="M147" s="18"/>
      <c r="N147" s="18" t="str">
        <f>IFERROR(__xludf.DUMMYFUNCTION("""COMPUTED_VALUE"""),"Standalone (not part of a series)")</f>
        <v>Standalone (not part of a series)</v>
      </c>
      <c r="O147" s="18"/>
      <c r="P147" s="18" t="str">
        <f>IFERROR(__xludf.DUMMYFUNCTION("""COMPUTED_VALUE"""),"Feel feels, Transported")</f>
        <v>Feel feels, Transported</v>
      </c>
      <c r="Q147" s="18"/>
      <c r="R147" s="19" t="str">
        <f>IFERROR(__xludf.DUMMYFUNCTION("""COMPUTED_VALUE"""),"No")</f>
        <v>No</v>
      </c>
      <c r="S147" s="20" t="str">
        <f>IFERROR(__xludf.DUMMYFUNCTION("""COMPUTED_VALUE"""),"https://www.goodreads.com/book/show/50702585-master-of-salt-bones")</f>
        <v>https://www.goodreads.com/book/show/50702585-master-of-salt-bones</v>
      </c>
    </row>
    <row r="148">
      <c r="A148" s="16">
        <f>IFERROR(__xludf.DUMMYFUNCTION("""COMPUTED_VALUE"""),44780.89685315972)</f>
        <v>44780.89685</v>
      </c>
      <c r="B148" s="13" t="str">
        <f>IFERROR(__xludf.DUMMYFUNCTION("""COMPUTED_VALUE"""),"Add new entry")</f>
        <v>Add new entry</v>
      </c>
      <c r="C148" s="17" t="str">
        <f>IFERROR(__xludf.DUMMYFUNCTION("""COMPUTED_VALUE"""),"All I Want For Christmas")</f>
        <v>All I Want For Christmas</v>
      </c>
      <c r="D148" s="18" t="str">
        <f>IFERROR(__xludf.DUMMYFUNCTION("""COMPUTED_VALUE"""),"Keris Stanton")</f>
        <v>Keris Stanton</v>
      </c>
      <c r="E148" s="18" t="str">
        <f>IFERROR(__xludf.DUMMYFUNCTION("""COMPUTED_VALUE"""),"M/F")</f>
        <v>M/F</v>
      </c>
      <c r="F148" s="18"/>
      <c r="G148" s="18"/>
      <c r="H148" s="18" t="str">
        <f>IFERROR(__xludf.DUMMYFUNCTION("""COMPUTED_VALUE"""),"Single POV, First person")</f>
        <v>Single POV, First person</v>
      </c>
      <c r="I148" s="18" t="str">
        <f>IFERROR(__xludf.DUMMYFUNCTION("""COMPUTED_VALUE"""),"Contemporary")</f>
        <v>Contemporary</v>
      </c>
      <c r="J148" s="18" t="str">
        <f>IFERROR(__xludf.DUMMYFUNCTION("""COMPUTED_VALUE"""),"Insta-lust/Insta-love/Insta-coffee, Novella or Short Story")</f>
        <v>Insta-lust/Insta-love/Insta-coffee, Novella or Short Story</v>
      </c>
      <c r="K148" s="18"/>
      <c r="L148" s="18" t="str">
        <f>IFERROR(__xludf.DUMMYFUNCTION("""COMPUTED_VALUE"""),"Level 3- Sexual content in a few chapters")</f>
        <v>Level 3- Sexual content in a few chapters</v>
      </c>
      <c r="M148" s="18"/>
      <c r="N148" s="18" t="str">
        <f>IFERROR(__xludf.DUMMYFUNCTION("""COMPUTED_VALUE"""),"Standalone (not part of a series)")</f>
        <v>Standalone (not part of a series)</v>
      </c>
      <c r="O148" s="18"/>
      <c r="P148" s="18" t="str">
        <f>IFERROR(__xludf.DUMMYFUNCTION("""COMPUTED_VALUE"""),"Tingle, Feel feels")</f>
        <v>Tingle, Feel feels</v>
      </c>
      <c r="Q148" s="18"/>
      <c r="R148" s="19" t="str">
        <f>IFERROR(__xludf.DUMMYFUNCTION("""COMPUTED_VALUE"""),"No")</f>
        <v>No</v>
      </c>
      <c r="S148" s="20" t="str">
        <f>IFERROR(__xludf.DUMMYFUNCTION("""COMPUTED_VALUE"""),"https://www.goodreads.com/book/show/48675635-all-i-want-for-christmas")</f>
        <v>https://www.goodreads.com/book/show/48675635-all-i-want-for-christmas</v>
      </c>
    </row>
    <row r="149">
      <c r="A149" s="16">
        <f>IFERROR(__xludf.DUMMYFUNCTION("""COMPUTED_VALUE"""),44780.90010396991)</f>
        <v>44780.9001</v>
      </c>
      <c r="B149" s="13" t="str">
        <f>IFERROR(__xludf.DUMMYFUNCTION("""COMPUTED_VALUE"""),"Add new entry")</f>
        <v>Add new entry</v>
      </c>
      <c r="C149" s="17" t="str">
        <f>IFERROR(__xludf.DUMMYFUNCTION("""COMPUTED_VALUE"""),"Passion's Liberation")</f>
        <v>Passion's Liberation</v>
      </c>
      <c r="D149" s="18" t="str">
        <f>IFERROR(__xludf.DUMMYFUNCTION("""COMPUTED_VALUE"""),"Khushi T. Saha")</f>
        <v>Khushi T. Saha</v>
      </c>
      <c r="E149" s="18" t="str">
        <f>IFERROR(__xludf.DUMMYFUNCTION("""COMPUTED_VALUE"""),"M/F")</f>
        <v>M/F</v>
      </c>
      <c r="F149" s="18" t="str">
        <f>IFERROR(__xludf.DUMMYFUNCTION("""COMPUTED_VALUE"""),"BIPoC (Black, Indigenous, People of Colour)")</f>
        <v>BIPoC (Black, Indigenous, People of Colour)</v>
      </c>
      <c r="G149" s="18" t="str">
        <f>IFERROR(__xludf.DUMMYFUNCTION("""COMPUTED_VALUE"""),"FMC is South Asian American, MMC is white American")</f>
        <v>FMC is South Asian American, MMC is white American</v>
      </c>
      <c r="H149" s="18" t="str">
        <f>IFERROR(__xludf.DUMMYFUNCTION("""COMPUTED_VALUE"""),"Dual POV")</f>
        <v>Dual POV</v>
      </c>
      <c r="I149" s="18" t="str">
        <f>IFERROR(__xludf.DUMMYFUNCTION("""COMPUTED_VALUE"""),"Erotic Romance, Multicultural/Interracial")</f>
        <v>Erotic Romance, Multicultural/Interracial</v>
      </c>
      <c r="J149" s="18" t="str">
        <f>IFERROR(__xludf.DUMMYFUNCTION("""COMPUTED_VALUE"""),"Angst, Insta-lust/Insta-love/Insta-coffee, Second Chance")</f>
        <v>Angst, Insta-lust/Insta-love/Insta-coffee, Second Chance</v>
      </c>
      <c r="K149" s="18"/>
      <c r="L149" s="18" t="str">
        <f>IFERROR(__xludf.DUMMYFUNCTION("""COMPUTED_VALUE"""),"Level 4- Heavy sexual content, mature audiences only")</f>
        <v>Level 4- Heavy sexual content, mature audiences only</v>
      </c>
      <c r="M149" s="18"/>
      <c r="N149" s="18"/>
      <c r="O149" s="18" t="str">
        <f>IFERROR(__xludf.DUMMYFUNCTION("""COMPUTED_VALUE"""),"Liberation Series #1")</f>
        <v>Liberation Series #1</v>
      </c>
      <c r="P149" s="18" t="str">
        <f>IFERROR(__xludf.DUMMYFUNCTION("""COMPUTED_VALUE"""),"Swoon, Tingle, Laugh, Cry, Rage, Feel feels, Smolder, Learn, Inspired")</f>
        <v>Swoon, Tingle, Laugh, Cry, Rage, Feel feels, Smolder, Learn, Inspired</v>
      </c>
      <c r="Q149" s="18" t="str">
        <f>IFERROR(__xludf.DUMMYFUNCTION("""COMPUTED_VALUE"""),"Miscarriage")</f>
        <v>Miscarriage</v>
      </c>
      <c r="R149" s="19" t="str">
        <f>IFERROR(__xludf.DUMMYFUNCTION("""COMPUTED_VALUE"""),"No")</f>
        <v>No</v>
      </c>
      <c r="S149" s="20" t="str">
        <f>IFERROR(__xludf.DUMMYFUNCTION("""COMPUTED_VALUE"""),"https://www.goodreads.com/book/show/60114483-passion-s-liberation")</f>
        <v>https://www.goodreads.com/book/show/60114483-passion-s-liberation</v>
      </c>
    </row>
    <row r="150">
      <c r="A150" s="16">
        <f>IFERROR(__xludf.DUMMYFUNCTION("""COMPUTED_VALUE"""),45679.950351168976)</f>
        <v>45679.95035</v>
      </c>
      <c r="B150" s="13" t="str">
        <f>IFERROR(__xludf.DUMMYFUNCTION("""COMPUTED_VALUE"""),"Add new entry")</f>
        <v>Add new entry</v>
      </c>
      <c r="C150" s="17" t="str">
        <f>IFERROR(__xludf.DUMMYFUNCTION("""COMPUTED_VALUE"""),"Consort of Fire")</f>
        <v>Consort of Fire</v>
      </c>
      <c r="D150" s="18" t="str">
        <f>IFERROR(__xludf.DUMMYFUNCTION("""COMPUTED_VALUE"""),"Kit Rocha")</f>
        <v>Kit Rocha</v>
      </c>
      <c r="E150" s="18" t="str">
        <f>IFERROR(__xludf.DUMMYFUNCTION("""COMPUTED_VALUE"""),"FFM")</f>
        <v>FFM</v>
      </c>
      <c r="F150" s="18" t="str">
        <f>IFERROR(__xludf.DUMMYFUNCTION("""COMPUTED_VALUE"""),"LGBTQIA+ &amp; GSM (Gender and Sexual Minorities)")</f>
        <v>LGBTQIA+ &amp; GSM (Gender and Sexual Minorities)</v>
      </c>
      <c r="G150" s="18" t="str">
        <f>IFERROR(__xludf.DUMMYFUNCTION("""COMPUTED_VALUE"""),"Ash is a 3000 year old dragon god. Sachielle has been raised to be his consort, but she and her handmaiden/love Zanya are sent to assassinate him")</f>
        <v>Ash is a 3000 year old dragon god. Sachielle has been raised to be his consort, but she and her handmaiden/love Zanya are sent to assassinate him</v>
      </c>
      <c r="H150" s="18" t="str">
        <f>IFERROR(__xludf.DUMMYFUNCTION("""COMPUTED_VALUE"""),"Third person, 3 POVs")</f>
        <v>Third person, 3 POVs</v>
      </c>
      <c r="I150" s="18" t="str">
        <f>IFERROR(__xludf.DUMMYFUNCTION("""COMPUTED_VALUE"""),"Adventure, Fantasy, Polyamorous")</f>
        <v>Adventure, Fantasy, Polyamorous</v>
      </c>
      <c r="J150" s="18" t="str">
        <f>IFERROR(__xludf.DUMMYFUNCTION("""COMPUTED_VALUE"""),"Age Difference, Childhood Friends, Creatures or Monsters- Dragon/Orc/Fae/etc, Enemies-to-lovers (or dislike-to-love), Fated Mates, Forced Proximity, Marriage of Convenience (or arranged marriage), Menage, Road Trip/Travel, Shifter/Wereperson, Spy/Intrigue"&amp;"/Mystery")</f>
        <v>Age Difference, Childhood Friends, Creatures or Monsters- Dragon/Orc/Fae/etc, Enemies-to-lovers (or dislike-to-love), Fated Mates, Forced Proximity, Marriage of Convenience (or arranged marriage), Menage, Road Trip/Travel, Shifter/Wereperson, Spy/Intrigue/Mystery</v>
      </c>
      <c r="K150" s="18"/>
      <c r="L150" s="18" t="str">
        <f>IFERROR(__xludf.DUMMYFUNCTION("""COMPUTED_VALUE"""),"Level 4- Heavy sexual content, mature audiences only")</f>
        <v>Level 4- Heavy sexual content, mature audiences only</v>
      </c>
      <c r="M150" s="18" t="str">
        <f>IFERROR(__xludf.DUMMYFUNCTION("""COMPUTED_VALUE"""),"Oral sex - cunnilingus, Oral sex - fellatio, PIV sex (penis in vagina), Size Kink")</f>
        <v>Oral sex - cunnilingus, Oral sex - fellatio, PIV sex (penis in vagina), Size Kink</v>
      </c>
      <c r="N150" s="18" t="str">
        <f>IFERROR(__xludf.DUMMYFUNCTION("""COMPUTED_VALUE"""),"Series- must be read in order")</f>
        <v>Series- must be read in order</v>
      </c>
      <c r="O150" s="18" t="str">
        <f>IFERROR(__xludf.DUMMYFUNCTION("""COMPUTED_VALUE"""),"Bound to Fire and Steel #1")</f>
        <v>Bound to Fire and Steel #1</v>
      </c>
      <c r="P150" s="18" t="str">
        <f>IFERROR(__xludf.DUMMYFUNCTION("""COMPUTED_VALUE"""),"Swoon, Tingle, Rage, Feel feels, Inspired, Transported")</f>
        <v>Swoon, Tingle, Rage, Feel feels, Inspired, Transported</v>
      </c>
      <c r="Q150" s="18" t="str">
        <f>IFERROR(__xludf.DUMMYFUNCTION("""COMPUTED_VALUE"""),"Violence, Murder, past trauma of both FMCs")</f>
        <v>Violence, Murder, past trauma of both FMCs</v>
      </c>
      <c r="R150" s="19" t="str">
        <f>IFERROR(__xludf.DUMMYFUNCTION("""COMPUTED_VALUE"""),"Yes")</f>
        <v>Yes</v>
      </c>
      <c r="S150" s="20" t="str">
        <f>IFERROR(__xludf.DUMMYFUNCTION("""COMPUTED_VALUE"""),"https://www.goodreads.com/book/show/123521649-consort-of-fire?ref=nav_sb_ss_1_15")</f>
        <v>https://www.goodreads.com/book/show/123521649-consort-of-fire?ref=nav_sb_ss_1_15</v>
      </c>
    </row>
    <row r="151">
      <c r="A151" s="16">
        <f>IFERROR(__xludf.DUMMYFUNCTION("""COMPUTED_VALUE"""),45200.68191626157)</f>
        <v>45200.68192</v>
      </c>
      <c r="B151" s="13" t="str">
        <f>IFERROR(__xludf.DUMMYFUNCTION("""COMPUTED_VALUE"""),"Add new entry")</f>
        <v>Add new entry</v>
      </c>
      <c r="C151" s="17" t="str">
        <f>IFERROR(__xludf.DUMMYFUNCTION("""COMPUTED_VALUE"""),"Beyond Shame ")</f>
        <v>Beyond Shame </v>
      </c>
      <c r="D151" s="18" t="str">
        <f>IFERROR(__xludf.DUMMYFUNCTION("""COMPUTED_VALUE"""),"Kit Rocha ")</f>
        <v>Kit Rocha </v>
      </c>
      <c r="E151" s="18" t="str">
        <f>IFERROR(__xludf.DUMMYFUNCTION("""COMPUTED_VALUE"""),"M/F")</f>
        <v>M/F</v>
      </c>
      <c r="F151" s="18" t="str">
        <f>IFERROR(__xludf.DUMMYFUNCTION("""COMPUTED_VALUE"""),"LGBTQIA+ &amp; GSM (Gender and Sexual Minorities)")</f>
        <v>LGBTQIA+ &amp; GSM (Gender and Sexual Minorities)</v>
      </c>
      <c r="G151" s="18"/>
      <c r="H151" s="18" t="str">
        <f>IFERROR(__xludf.DUMMYFUNCTION("""COMPUTED_VALUE"""),"Dual POV, Third person")</f>
        <v>Dual POV, Third person</v>
      </c>
      <c r="I151" s="18" t="str">
        <f>IFERROR(__xludf.DUMMYFUNCTION("""COMPUTED_VALUE"""),"Erotic Romance")</f>
        <v>Erotic Romance</v>
      </c>
      <c r="J151" s="18" t="str">
        <f>IFERROR(__xludf.DUMMYFUNCTION("""COMPUTED_VALUE"""),"BDSM or Kink, Dystopian, Tattoos &amp; Piercings")</f>
        <v>BDSM or Kink, Dystopian, Tattoos &amp; Piercings</v>
      </c>
      <c r="K151" s="18" t="str">
        <f>IFERROR(__xludf.DUMMYFUNCTION("""COMPUTED_VALUE"""),"North America")</f>
        <v>North America</v>
      </c>
      <c r="L151" s="18" t="str">
        <f>IFERROR(__xludf.DUMMYFUNCTION("""COMPUTED_VALUE"""),"Level 5- My Kindle melted, primarily erotica")</f>
        <v>Level 5- My Kindle melted, primarily erotica</v>
      </c>
      <c r="M151" s="18" t="str">
        <f>IFERROR(__xludf.DUMMYFUNCTION("""COMPUTED_VALUE"""),"Anal sex, Bondage &amp; Restraints, Dom/Sub, Exhibitionism, Impact play (spanking etc), Oral sex - cunnilingus, Oral sex - fellatio, PIV sex (penis in vagina), Sex Toy Play, Voyeurism")</f>
        <v>Anal sex, Bondage &amp; Restraints, Dom/Sub, Exhibitionism, Impact play (spanking etc), Oral sex - cunnilingus, Oral sex - fellatio, PIV sex (penis in vagina), Sex Toy Play, Voyeurism</v>
      </c>
      <c r="N151" s="18" t="str">
        <f>IFERROR(__xludf.DUMMYFUNCTION("""COMPUTED_VALUE"""),"Series- must be read in order")</f>
        <v>Series- must be read in order</v>
      </c>
      <c r="O151" s="18" t="str">
        <f>IFERROR(__xludf.DUMMYFUNCTION("""COMPUTED_VALUE"""),"Beyond series #1")</f>
        <v>Beyond series #1</v>
      </c>
      <c r="P151" s="18" t="str">
        <f>IFERROR(__xludf.DUMMYFUNCTION("""COMPUTED_VALUE"""),"Feel feels")</f>
        <v>Feel feels</v>
      </c>
      <c r="Q151" s="18" t="str">
        <f>IFERROR(__xludf.DUMMYFUNCTION("""COMPUTED_VALUE"""),"Past Trauma (child abuse, emotional abuse, slut-shaming), Guns, Murder, Misogyny, Heavy Drinking")</f>
        <v>Past Trauma (child abuse, emotional abuse, slut-shaming), Guns, Murder, Misogyny, Heavy Drinking</v>
      </c>
      <c r="R151" s="19" t="str">
        <f>IFERROR(__xludf.DUMMYFUNCTION("""COMPUTED_VALUE"""),"No")</f>
        <v>No</v>
      </c>
      <c r="S151" s="20" t="str">
        <f>IFERROR(__xludf.DUMMYFUNCTION("""COMPUTED_VALUE"""),"https://www.goodreads.com/book/show/15830843-beyond-shame")</f>
        <v>https://www.goodreads.com/book/show/15830843-beyond-shame</v>
      </c>
    </row>
    <row r="152">
      <c r="A152" s="16">
        <f>IFERROR(__xludf.DUMMYFUNCTION("""COMPUTED_VALUE"""),44780.902954212965)</f>
        <v>44780.90295</v>
      </c>
      <c r="B152" s="13" t="str">
        <f>IFERROR(__xludf.DUMMYFUNCTION("""COMPUTED_VALUE"""),"Add new entry")</f>
        <v>Add new entry</v>
      </c>
      <c r="C152" s="17" t="str">
        <f>IFERROR(__xludf.DUMMYFUNCTION("""COMPUTED_VALUE"""),"Letter in the Dark")</f>
        <v>Letter in the Dark</v>
      </c>
      <c r="D152" s="18" t="str">
        <f>IFERROR(__xludf.DUMMYFUNCTION("""COMPUTED_VALUE"""),"Kit Rose")</f>
        <v>Kit Rose</v>
      </c>
      <c r="E152" s="18" t="str">
        <f>IFERROR(__xludf.DUMMYFUNCTION("""COMPUTED_VALUE"""),"M/F")</f>
        <v>M/F</v>
      </c>
      <c r="F152" s="18"/>
      <c r="G152" s="18"/>
      <c r="H152" s="18" t="str">
        <f>IFERROR(__xludf.DUMMYFUNCTION("""COMPUTED_VALUE"""),"Third person")</f>
        <v>Third person</v>
      </c>
      <c r="I152" s="18" t="str">
        <f>IFERROR(__xludf.DUMMYFUNCTION("""COMPUTED_VALUE"""),"Contemporary, Romantic Suspense")</f>
        <v>Contemporary, Romantic Suspense</v>
      </c>
      <c r="J152" s="18" t="str">
        <f>IFERROR(__xludf.DUMMYFUNCTION("""COMPUTED_VALUE"""),"Antihero/Villian/Stockholm Syndrome, Billionaires/Millionaires/Gazillionaires etc, Enemies-to-lovers (or dislike-to-love)")</f>
        <v>Antihero/Villian/Stockholm Syndrome, Billionaires/Millionaires/Gazillionaires etc, Enemies-to-lovers (or dislike-to-love)</v>
      </c>
      <c r="K152" s="18"/>
      <c r="L152" s="18" t="str">
        <f>IFERROR(__xludf.DUMMYFUNCTION("""COMPUTED_VALUE"""),"Level 3- Sexual content in a few chapters")</f>
        <v>Level 3- Sexual content in a few chapters</v>
      </c>
      <c r="M152" s="18"/>
      <c r="N152" s="18" t="str">
        <f>IFERROR(__xludf.DUMMYFUNCTION("""COMPUTED_VALUE"""),"Standalone (not part of a series)")</f>
        <v>Standalone (not part of a series)</v>
      </c>
      <c r="O152" s="18"/>
      <c r="P152" s="18" t="str">
        <f>IFERROR(__xludf.DUMMYFUNCTION("""COMPUTED_VALUE"""),"Swoon, Tingle, Laugh, Cry, Feel feels, Smolder")</f>
        <v>Swoon, Tingle, Laugh, Cry, Feel feels, Smolder</v>
      </c>
      <c r="Q152" s="18" t="str">
        <f>IFERROR(__xludf.DUMMYFUNCTION("""COMPUTED_VALUE"""),"Child abuse (not graphic), murder")</f>
        <v>Child abuse (not graphic), murder</v>
      </c>
      <c r="R152" s="19" t="str">
        <f>IFERROR(__xludf.DUMMYFUNCTION("""COMPUTED_VALUE"""),"No")</f>
        <v>No</v>
      </c>
      <c r="S152" s="20" t="str">
        <f>IFERROR(__xludf.DUMMYFUNCTION("""COMPUTED_VALUE"""),"https://www.goodreads.com/book/show/54142271-letters-in-the-dark")</f>
        <v>https://www.goodreads.com/book/show/54142271-letters-in-the-dark</v>
      </c>
    </row>
    <row r="153">
      <c r="A153" s="16">
        <f>IFERROR(__xludf.DUMMYFUNCTION("""COMPUTED_VALUE"""),45187.089146770835)</f>
        <v>45187.08915</v>
      </c>
      <c r="B153" s="13" t="str">
        <f>IFERROR(__xludf.DUMMYFUNCTION("""COMPUTED_VALUE"""),"Add new entry")</f>
        <v>Add new entry</v>
      </c>
      <c r="C153" s="17" t="str">
        <f>IFERROR(__xludf.DUMMYFUNCTION("""COMPUTED_VALUE"""),"Claimed by the Alien Rogue")</f>
        <v>Claimed by the Alien Rogue</v>
      </c>
      <c r="D153" s="18" t="str">
        <f>IFERROR(__xludf.DUMMYFUNCTION("""COMPUTED_VALUE"""),"Krista Luna")</f>
        <v>Krista Luna</v>
      </c>
      <c r="E153" s="18" t="str">
        <f>IFERROR(__xludf.DUMMYFUNCTION("""COMPUTED_VALUE"""),"M/F")</f>
        <v>M/F</v>
      </c>
      <c r="F153" s="18"/>
      <c r="G153" s="18" t="str">
        <f>IFERROR(__xludf.DUMMYFUNCTION("""COMPUTED_VALUE"""),"Grumpy MMC sunshine FMC")</f>
        <v>Grumpy MMC sunshine FMC</v>
      </c>
      <c r="H153" s="18" t="str">
        <f>IFERROR(__xludf.DUMMYFUNCTION("""COMPUTED_VALUE"""),"Dual POV, First person")</f>
        <v>Dual POV, First person</v>
      </c>
      <c r="I153" s="18" t="str">
        <f>IFERROR(__xludf.DUMMYFUNCTION("""COMPUTED_VALUE"""),"Science Fiction &amp; Alien")</f>
        <v>Science Fiction &amp; Alien</v>
      </c>
      <c r="J153" s="18" t="str">
        <f>IFERROR(__xludf.DUMMYFUNCTION("""COMPUTED_VALUE"""),"Creatures or Monsters- Dragon/Orc/Fae/etc, Fated Mates, Forced Proximity, Grumpy/Sunshine, Insta-lust/Insta-love/Insta-coffee, Only One Bed")</f>
        <v>Creatures or Monsters- Dragon/Orc/Fae/etc, Fated Mates, Forced Proximity, Grumpy/Sunshine, Insta-lust/Insta-love/Insta-coffee, Only One Bed</v>
      </c>
      <c r="K153" s="18" t="str">
        <f>IFERROR(__xludf.DUMMYFUNCTION("""COMPUTED_VALUE"""),"alien planet")</f>
        <v>alien planet</v>
      </c>
      <c r="L153" s="18" t="str">
        <f>IFERROR(__xludf.DUMMYFUNCTION("""COMPUTED_VALUE"""),"Level 4- Heavy sexual content, mature audiences only")</f>
        <v>Level 4- Heavy sexual content, mature audiences only</v>
      </c>
      <c r="M153" s="18" t="str">
        <f>IFERROR(__xludf.DUMMYFUNCTION("""COMPUTED_VALUE"""),"knotting, tail play")</f>
        <v>knotting, tail play</v>
      </c>
      <c r="N153" s="18" t="str">
        <f>IFERROR(__xludf.DUMMYFUNCTION("""COMPUTED_VALUE"""),"Series- can be read as standalones")</f>
        <v>Series- can be read as standalones</v>
      </c>
      <c r="O153" s="18" t="str">
        <f>IFERROR(__xludf.DUMMYFUNCTION("""COMPUTED_VALUE"""),"Fated Mates of the Zaarn 1")</f>
        <v>Fated Mates of the Zaarn 1</v>
      </c>
      <c r="P153" s="18" t="str">
        <f>IFERROR(__xludf.DUMMYFUNCTION("""COMPUTED_VALUE"""),"Swoon, Tingle, Laugh, Feel feels, Dream, Transported")</f>
        <v>Swoon, Tingle, Laugh, Feel feels, Dream, Transported</v>
      </c>
      <c r="Q153" s="18"/>
      <c r="R153" s="19" t="str">
        <f>IFERROR(__xludf.DUMMYFUNCTION("""COMPUTED_VALUE"""),"No")</f>
        <v>No</v>
      </c>
      <c r="S153" s="20" t="str">
        <f>IFERROR(__xludf.DUMMYFUNCTION("""COMPUTED_VALUE"""),"https://www.goodreads.com/book/show/81070436-claimed-by-the-alien-rogue")</f>
        <v>https://www.goodreads.com/book/show/81070436-claimed-by-the-alien-rogue</v>
      </c>
    </row>
    <row r="154">
      <c r="A154" s="16">
        <f>IFERROR(__xludf.DUMMYFUNCTION("""COMPUTED_VALUE"""),45187.09163879629)</f>
        <v>45187.09164</v>
      </c>
      <c r="B154" s="13" t="str">
        <f>IFERROR(__xludf.DUMMYFUNCTION("""COMPUTED_VALUE"""),"Add new entry")</f>
        <v>Add new entry</v>
      </c>
      <c r="C154" s="17" t="str">
        <f>IFERROR(__xludf.DUMMYFUNCTION("""COMPUTED_VALUE"""),"Taken by the Alien Rogue")</f>
        <v>Taken by the Alien Rogue</v>
      </c>
      <c r="D154" s="18" t="str">
        <f>IFERROR(__xludf.DUMMYFUNCTION("""COMPUTED_VALUE"""),"Krista Luna")</f>
        <v>Krista Luna</v>
      </c>
      <c r="E154" s="18" t="str">
        <f>IFERROR(__xludf.DUMMYFUNCTION("""COMPUTED_VALUE"""),"M/F")</f>
        <v>M/F</v>
      </c>
      <c r="F154" s="18" t="str">
        <f>IFERROR(__xludf.DUMMYFUNCTION("""COMPUTED_VALUE"""),"Fat/Plus Size/Body Positive")</f>
        <v>Fat/Plus Size/Body Positive</v>
      </c>
      <c r="G154" s="18" t="str">
        <f>IFERROR(__xludf.DUMMYFUNCTION("""COMPUTED_VALUE"""),"d!rty talking MMC, shy curvy FMC")</f>
        <v>d!rty talking MMC, shy curvy FMC</v>
      </c>
      <c r="H154" s="18" t="str">
        <f>IFERROR(__xludf.DUMMYFUNCTION("""COMPUTED_VALUE"""),"Dual POV, First person")</f>
        <v>Dual POV, First person</v>
      </c>
      <c r="I154" s="18" t="str">
        <f>IFERROR(__xludf.DUMMYFUNCTION("""COMPUTED_VALUE"""),"Science Fiction &amp; Alien")</f>
        <v>Science Fiction &amp; Alien</v>
      </c>
      <c r="J154" s="18" t="str">
        <f>IFERROR(__xludf.DUMMYFUNCTION("""COMPUTED_VALUE"""),"Creatures or Monsters- Dragon/Orc/Fae/etc, Insta-lust/Insta-love/Insta-coffee, Only One Bed")</f>
        <v>Creatures or Monsters- Dragon/Orc/Fae/etc, Insta-lust/Insta-love/Insta-coffee, Only One Bed</v>
      </c>
      <c r="K154" s="18" t="str">
        <f>IFERROR(__xludf.DUMMYFUNCTION("""COMPUTED_VALUE"""),"alien planet")</f>
        <v>alien planet</v>
      </c>
      <c r="L154" s="18" t="str">
        <f>IFERROR(__xludf.DUMMYFUNCTION("""COMPUTED_VALUE"""),"Level 4- Heavy sexual content, mature audiences only")</f>
        <v>Level 4- Heavy sexual content, mature audiences only</v>
      </c>
      <c r="M154" s="18" t="str">
        <f>IFERROR(__xludf.DUMMYFUNCTION("""COMPUTED_VALUE"""),"knotting, tail play")</f>
        <v>knotting, tail play</v>
      </c>
      <c r="N154" s="18" t="str">
        <f>IFERROR(__xludf.DUMMYFUNCTION("""COMPUTED_VALUE"""),"Series- can be read as standalones")</f>
        <v>Series- can be read as standalones</v>
      </c>
      <c r="O154" s="18" t="str">
        <f>IFERROR(__xludf.DUMMYFUNCTION("""COMPUTED_VALUE"""),"Fated Mates of the Zaarn 2")</f>
        <v>Fated Mates of the Zaarn 2</v>
      </c>
      <c r="P154" s="18" t="str">
        <f>IFERROR(__xludf.DUMMYFUNCTION("""COMPUTED_VALUE"""),"Swoon, Tingle, Laugh, Feel feels, Dream, Transported")</f>
        <v>Swoon, Tingle, Laugh, Feel feels, Dream, Transported</v>
      </c>
      <c r="Q154" s="18"/>
      <c r="R154" s="19" t="str">
        <f>IFERROR(__xludf.DUMMYFUNCTION("""COMPUTED_VALUE"""),"No")</f>
        <v>No</v>
      </c>
      <c r="S154" s="20" t="str">
        <f>IFERROR(__xludf.DUMMYFUNCTION("""COMPUTED_VALUE"""),"https://www.goodreads.com/book/show/122781604-taken-by-the-alien-rogue")</f>
        <v>https://www.goodreads.com/book/show/122781604-taken-by-the-alien-rogue</v>
      </c>
    </row>
    <row r="155">
      <c r="A155" s="16">
        <f>IFERROR(__xludf.DUMMYFUNCTION("""COMPUTED_VALUE"""),45187.0947502662)</f>
        <v>45187.09475</v>
      </c>
      <c r="B155" s="13" t="str">
        <f>IFERROR(__xludf.DUMMYFUNCTION("""COMPUTED_VALUE"""),"Add new entry")</f>
        <v>Add new entry</v>
      </c>
      <c r="C155" s="17" t="str">
        <f>IFERROR(__xludf.DUMMYFUNCTION("""COMPUTED_VALUE"""),"Wanted by the Alien Rogue")</f>
        <v>Wanted by the Alien Rogue</v>
      </c>
      <c r="D155" s="18" t="str">
        <f>IFERROR(__xludf.DUMMYFUNCTION("""COMPUTED_VALUE"""),"Krista Luna")</f>
        <v>Krista Luna</v>
      </c>
      <c r="E155" s="18" t="str">
        <f>IFERROR(__xludf.DUMMYFUNCTION("""COMPUTED_VALUE"""),"M/F")</f>
        <v>M/F</v>
      </c>
      <c r="F155" s="18" t="str">
        <f>IFERROR(__xludf.DUMMYFUNCTION("""COMPUTED_VALUE"""),"BIPoC (Black, Indigenous, People of Colour)")</f>
        <v>BIPoC (Black, Indigenous, People of Colour)</v>
      </c>
      <c r="G155" s="18" t="str">
        <f>IFERROR(__xludf.DUMMYFUNCTION("""COMPUTED_VALUE"""),"himbo MMC, capable FMC")</f>
        <v>himbo MMC, capable FMC</v>
      </c>
      <c r="H155" s="18" t="str">
        <f>IFERROR(__xludf.DUMMYFUNCTION("""COMPUTED_VALUE"""),"Dual POV, First person")</f>
        <v>Dual POV, First person</v>
      </c>
      <c r="I155" s="18" t="str">
        <f>IFERROR(__xludf.DUMMYFUNCTION("""COMPUTED_VALUE"""),"Science Fiction &amp; Alien")</f>
        <v>Science Fiction &amp; Alien</v>
      </c>
      <c r="J155" s="18" t="str">
        <f>IFERROR(__xludf.DUMMYFUNCTION("""COMPUTED_VALUE"""),"Creatures or Monsters- Dragon/Orc/Fae/etc, Fated Mates, Forced Proximity, Only One Bed, Virgin MC")</f>
        <v>Creatures or Monsters- Dragon/Orc/Fae/etc, Fated Mates, Forced Proximity, Only One Bed, Virgin MC</v>
      </c>
      <c r="K155" s="18" t="str">
        <f>IFERROR(__xludf.DUMMYFUNCTION("""COMPUTED_VALUE"""),"alien planet")</f>
        <v>alien planet</v>
      </c>
      <c r="L155" s="18" t="str">
        <f>IFERROR(__xludf.DUMMYFUNCTION("""COMPUTED_VALUE"""),"Level 4- Heavy sexual content, mature audiences only")</f>
        <v>Level 4- Heavy sexual content, mature audiences only</v>
      </c>
      <c r="M155" s="18" t="str">
        <f>IFERROR(__xludf.DUMMYFUNCTION("""COMPUTED_VALUE"""),"knotting, tail play")</f>
        <v>knotting, tail play</v>
      </c>
      <c r="N155" s="18" t="str">
        <f>IFERROR(__xludf.DUMMYFUNCTION("""COMPUTED_VALUE"""),"Series- can be read as standalones")</f>
        <v>Series- can be read as standalones</v>
      </c>
      <c r="O155" s="18" t="str">
        <f>IFERROR(__xludf.DUMMYFUNCTION("""COMPUTED_VALUE"""),"Fated Mates of the Zaarn 3")</f>
        <v>Fated Mates of the Zaarn 3</v>
      </c>
      <c r="P155" s="18" t="str">
        <f>IFERROR(__xludf.DUMMYFUNCTION("""COMPUTED_VALUE"""),"Swoon, Tingle, Laugh, Feel feels, Dream, Transported")</f>
        <v>Swoon, Tingle, Laugh, Feel feels, Dream, Transported</v>
      </c>
      <c r="Q155" s="18"/>
      <c r="R155" s="19" t="str">
        <f>IFERROR(__xludf.DUMMYFUNCTION("""COMPUTED_VALUE"""),"No")</f>
        <v>No</v>
      </c>
      <c r="S155" s="20" t="str">
        <f>IFERROR(__xludf.DUMMYFUNCTION("""COMPUTED_VALUE"""),"https://www.goodreads.com/book/show/125689096-wanted-by-the-alien-rogue")</f>
        <v>https://www.goodreads.com/book/show/125689096-wanted-by-the-alien-rogue</v>
      </c>
    </row>
    <row r="156">
      <c r="A156" s="16">
        <f>IFERROR(__xludf.DUMMYFUNCTION("""COMPUTED_VALUE"""),45187.09689371528)</f>
        <v>45187.09689</v>
      </c>
      <c r="B156" s="13" t="str">
        <f>IFERROR(__xludf.DUMMYFUNCTION("""COMPUTED_VALUE"""),"Add new entry")</f>
        <v>Add new entry</v>
      </c>
      <c r="C156" s="17" t="str">
        <f>IFERROR(__xludf.DUMMYFUNCTION("""COMPUTED_VALUE"""),"Married to the Alien Rogue")</f>
        <v>Married to the Alien Rogue</v>
      </c>
      <c r="D156" s="18" t="str">
        <f>IFERROR(__xludf.DUMMYFUNCTION("""COMPUTED_VALUE"""),"Krista Luna")</f>
        <v>Krista Luna</v>
      </c>
      <c r="E156" s="18" t="str">
        <f>IFERROR(__xludf.DUMMYFUNCTION("""COMPUTED_VALUE"""),"M/F")</f>
        <v>M/F</v>
      </c>
      <c r="F156" s="18" t="str">
        <f>IFERROR(__xludf.DUMMYFUNCTION("""COMPUTED_VALUE"""),"BIPoC (Black, Indigenous, People of Colour)")</f>
        <v>BIPoC (Black, Indigenous, People of Colour)</v>
      </c>
      <c r="G156" s="18" t="str">
        <f>IFERROR(__xludf.DUMMYFUNCTION("""COMPUTED_VALUE"""),"grumpy MMC, sunshiney FMC")</f>
        <v>grumpy MMC, sunshiney FMC</v>
      </c>
      <c r="H156" s="18" t="str">
        <f>IFERROR(__xludf.DUMMYFUNCTION("""COMPUTED_VALUE"""),"Dual POV, First person")</f>
        <v>Dual POV, First person</v>
      </c>
      <c r="I156" s="18" t="str">
        <f>IFERROR(__xludf.DUMMYFUNCTION("""COMPUTED_VALUE"""),"Science Fiction &amp; Alien")</f>
        <v>Science Fiction &amp; Alien</v>
      </c>
      <c r="J156" s="18" t="str">
        <f>IFERROR(__xludf.DUMMYFUNCTION("""COMPUTED_VALUE"""),"Creatures or Monsters- Dragon/Orc/Fae/etc, Fated Mates, Grumpy/Sunshine, Only One Bed")</f>
        <v>Creatures or Monsters- Dragon/Orc/Fae/etc, Fated Mates, Grumpy/Sunshine, Only One Bed</v>
      </c>
      <c r="K156" s="18" t="str">
        <f>IFERROR(__xludf.DUMMYFUNCTION("""COMPUTED_VALUE"""),"alien planet")</f>
        <v>alien planet</v>
      </c>
      <c r="L156" s="18" t="str">
        <f>IFERROR(__xludf.DUMMYFUNCTION("""COMPUTED_VALUE"""),"Level 4- Heavy sexual content, mature audiences only")</f>
        <v>Level 4- Heavy sexual content, mature audiences only</v>
      </c>
      <c r="M156" s="18" t="str">
        <f>IFERROR(__xludf.DUMMYFUNCTION("""COMPUTED_VALUE"""),"knotting, tail play")</f>
        <v>knotting, tail play</v>
      </c>
      <c r="N156" s="18" t="str">
        <f>IFERROR(__xludf.DUMMYFUNCTION("""COMPUTED_VALUE"""),"Series- can be read as standalones")</f>
        <v>Series- can be read as standalones</v>
      </c>
      <c r="O156" s="18" t="str">
        <f>IFERROR(__xludf.DUMMYFUNCTION("""COMPUTED_VALUE"""),"Fated Mates of the Zaarn 4")</f>
        <v>Fated Mates of the Zaarn 4</v>
      </c>
      <c r="P156" s="18" t="str">
        <f>IFERROR(__xludf.DUMMYFUNCTION("""COMPUTED_VALUE"""),"Swoon, Tingle, Laugh, Feel feels, Dream, Inspired")</f>
        <v>Swoon, Tingle, Laugh, Feel feels, Dream, Inspired</v>
      </c>
      <c r="Q156" s="18"/>
      <c r="R156" s="19" t="str">
        <f>IFERROR(__xludf.DUMMYFUNCTION("""COMPUTED_VALUE"""),"No")</f>
        <v>No</v>
      </c>
      <c r="S156" s="20" t="str">
        <f>IFERROR(__xludf.DUMMYFUNCTION("""COMPUTED_VALUE"""),"https://www.goodreads.com/book/show/163548254-married-to-the-alien-rogue")</f>
        <v>https://www.goodreads.com/book/show/163548254-married-to-the-alien-rogue</v>
      </c>
    </row>
    <row r="157">
      <c r="A157" s="16">
        <f>IFERROR(__xludf.DUMMYFUNCTION("""COMPUTED_VALUE"""),45432.176194733795)</f>
        <v>45432.17619</v>
      </c>
      <c r="B157" s="13" t="str">
        <f>IFERROR(__xludf.DUMMYFUNCTION("""COMPUTED_VALUE"""),"Add new entry")</f>
        <v>Add new entry</v>
      </c>
      <c r="C157" s="17" t="str">
        <f>IFERROR(__xludf.DUMMYFUNCTION("""COMPUTED_VALUE"""),"Bound to the Orc Warlord")</f>
        <v>Bound to the Orc Warlord</v>
      </c>
      <c r="D157" s="18" t="str">
        <f>IFERROR(__xludf.DUMMYFUNCTION("""COMPUTED_VALUE"""),"Krista Luna")</f>
        <v>Krista Luna</v>
      </c>
      <c r="E157" s="18" t="str">
        <f>IFERROR(__xludf.DUMMYFUNCTION("""COMPUTED_VALUE"""),"M/F")</f>
        <v>M/F</v>
      </c>
      <c r="F157" s="18" t="str">
        <f>IFERROR(__xludf.DUMMYFUNCTION("""COMPUTED_VALUE"""),"Fat/Plus Size/Body Positive")</f>
        <v>Fat/Plus Size/Body Positive</v>
      </c>
      <c r="G157" s="18" t="str">
        <f>IFERROR(__xludf.DUMMYFUNCTION("""COMPUTED_VALUE"""),"orc monster hero")</f>
        <v>orc monster hero</v>
      </c>
      <c r="H157" s="18" t="str">
        <f>IFERROR(__xludf.DUMMYFUNCTION("""COMPUTED_VALUE"""),"Dual POV")</f>
        <v>Dual POV</v>
      </c>
      <c r="I157" s="18" t="str">
        <f>IFERROR(__xludf.DUMMYFUNCTION("""COMPUTED_VALUE"""),"Adventure, Fantasy, Romantic Comedy")</f>
        <v>Adventure, Fantasy, Romantic Comedy</v>
      </c>
      <c r="J157" s="18" t="str">
        <f>IFERROR(__xludf.DUMMYFUNCTION("""COMPUTED_VALUE"""),"Creatures or Monsters- Dragon/Orc/Fae/etc, Forced Proximity, Grumpy/Sunshine, Marriage of Convenience (or arranged marriage), Only One Bed, Tattoos &amp; Piercings, Witch/Wizard/Warlock etc")</f>
        <v>Creatures or Monsters- Dragon/Orc/Fae/etc, Forced Proximity, Grumpy/Sunshine, Marriage of Convenience (or arranged marriage), Only One Bed, Tattoos &amp; Piercings, Witch/Wizard/Warlock etc</v>
      </c>
      <c r="K157" s="18" t="str">
        <f>IFERROR(__xludf.DUMMYFUNCTION("""COMPUTED_VALUE"""),"Faerie")</f>
        <v>Faerie</v>
      </c>
      <c r="L157" s="18" t="str">
        <f>IFERROR(__xludf.DUMMYFUNCTION("""COMPUTED_VALUE"""),"Level 4- Heavy sexual content, mature audiences only")</f>
        <v>Level 4- Heavy sexual content, mature audiences only</v>
      </c>
      <c r="M157" s="18" t="str">
        <f>IFERROR(__xludf.DUMMYFUNCTION("""COMPUTED_VALUE"""),"Dirty Talk, Oral sex - cunnilingus, Oral sex - fellatio, PIV sex (penis in vagina), monster cock, pierced, knotting, aphrodisiac fluids")</f>
        <v>Dirty Talk, Oral sex - cunnilingus, Oral sex - fellatio, PIV sex (penis in vagina), monster cock, pierced, knotting, aphrodisiac fluids</v>
      </c>
      <c r="N157" s="18" t="str">
        <f>IFERROR(__xludf.DUMMYFUNCTION("""COMPUTED_VALUE"""),"Series- can be read as standalones")</f>
        <v>Series- can be read as standalones</v>
      </c>
      <c r="O157" s="18" t="str">
        <f>IFERROR(__xludf.DUMMYFUNCTION("""COMPUTED_VALUE"""),"Brides of the Moon Blade Clan 1")</f>
        <v>Brides of the Moon Blade Clan 1</v>
      </c>
      <c r="P157" s="18" t="str">
        <f>IFERROR(__xludf.DUMMYFUNCTION("""COMPUTED_VALUE"""),"Swoon, Tingle, Laugh, Transported")</f>
        <v>Swoon, Tingle, Laugh, Transported</v>
      </c>
      <c r="Q157" s="18" t="str">
        <f>IFERROR(__xludf.DUMMYFUNCTION("""COMPUTED_VALUE"""),"Multiple Explicit Intimate Scenes, Size Difference, Copious Aphrodisiac Fluid, Pierced Male Anatomy, Knotting, End of Book Pregnancy, Strong Language, Bladed-Weapons, Fighting Enemies (enemy fatalities)")</f>
        <v>Multiple Explicit Intimate Scenes, Size Difference, Copious Aphrodisiac Fluid, Pierced Male Anatomy, Knotting, End of Book Pregnancy, Strong Language, Bladed-Weapons, Fighting Enemies (enemy fatalities)</v>
      </c>
      <c r="R157" s="19" t="str">
        <f>IFERROR(__xludf.DUMMYFUNCTION("""COMPUTED_VALUE"""),"No")</f>
        <v>No</v>
      </c>
      <c r="S157" s="20" t="str">
        <f>IFERROR(__xludf.DUMMYFUNCTION("""COMPUTED_VALUE"""),"https://www.goodreads.com/book/show/206056327-bound-to-the-orc-warlord")</f>
        <v>https://www.goodreads.com/book/show/206056327-bound-to-the-orc-warlord</v>
      </c>
    </row>
    <row r="158">
      <c r="A158" s="16">
        <f>IFERROR(__xludf.DUMMYFUNCTION("""COMPUTED_VALUE"""),44780.90537052083)</f>
        <v>44780.90537</v>
      </c>
      <c r="B158" s="13" t="str">
        <f>IFERROR(__xludf.DUMMYFUNCTION("""COMPUTED_VALUE"""),"Add new entry")</f>
        <v>Add new entry</v>
      </c>
      <c r="C158" s="17" t="str">
        <f>IFERROR(__xludf.DUMMYFUNCTION("""COMPUTED_VALUE"""),"In Love and War")</f>
        <v>In Love and War</v>
      </c>
      <c r="D158" s="18" t="str">
        <f>IFERROR(__xludf.DUMMYFUNCTION("""COMPUTED_VALUE"""),"Kyra Parsi")</f>
        <v>Kyra Parsi</v>
      </c>
      <c r="E158" s="18" t="str">
        <f>IFERROR(__xludf.DUMMYFUNCTION("""COMPUTED_VALUE"""),"M/F")</f>
        <v>M/F</v>
      </c>
      <c r="F158" s="18"/>
      <c r="G158" s="18"/>
      <c r="H158" s="18" t="str">
        <f>IFERROR(__xludf.DUMMYFUNCTION("""COMPUTED_VALUE"""),"Single POV")</f>
        <v>Single POV</v>
      </c>
      <c r="I158" s="18" t="str">
        <f>IFERROR(__xludf.DUMMYFUNCTION("""COMPUTED_VALUE"""),"Contemporary, Romantic Comedy")</f>
        <v>Contemporary, Romantic Comedy</v>
      </c>
      <c r="J158" s="18" t="str">
        <f>IFERROR(__xludf.DUMMYFUNCTION("""COMPUTED_VALUE"""),"Age Difference, Coworkers or Colleagues, Enemies-to-lovers (or dislike-to-love)")</f>
        <v>Age Difference, Coworkers or Colleagues, Enemies-to-lovers (or dislike-to-love)</v>
      </c>
      <c r="K158" s="18"/>
      <c r="L158" s="18" t="str">
        <f>IFERROR(__xludf.DUMMYFUNCTION("""COMPUTED_VALUE"""),"Level 3- Sexual content in a few chapters")</f>
        <v>Level 3- Sexual content in a few chapters</v>
      </c>
      <c r="M158" s="18"/>
      <c r="N158" s="18" t="str">
        <f>IFERROR(__xludf.DUMMYFUNCTION("""COMPUTED_VALUE"""),"Standalone (not part of a series)")</f>
        <v>Standalone (not part of a series)</v>
      </c>
      <c r="O158" s="18"/>
      <c r="P158" s="18" t="str">
        <f>IFERROR(__xludf.DUMMYFUNCTION("""COMPUTED_VALUE"""),"Laugh, Cry")</f>
        <v>Laugh, Cry</v>
      </c>
      <c r="Q158" s="18"/>
      <c r="R158" s="19" t="str">
        <f>IFERROR(__xludf.DUMMYFUNCTION("""COMPUTED_VALUE"""),"No")</f>
        <v>No</v>
      </c>
      <c r="S158" s="20" t="str">
        <f>IFERROR(__xludf.DUMMYFUNCTION("""COMPUTED_VALUE"""),"https://www.goodreads.com/book/show/55685450-in-love-and-war")</f>
        <v>https://www.goodreads.com/book/show/55685450-in-love-and-war</v>
      </c>
    </row>
    <row r="159">
      <c r="A159" s="16">
        <f>IFERROR(__xludf.DUMMYFUNCTION("""COMPUTED_VALUE"""),44780.961804189814)</f>
        <v>44780.9618</v>
      </c>
      <c r="B159" s="13" t="str">
        <f>IFERROR(__xludf.DUMMYFUNCTION("""COMPUTED_VALUE"""),"Add new entry")</f>
        <v>Add new entry</v>
      </c>
      <c r="C159" s="17" t="str">
        <f>IFERROR(__xludf.DUMMYFUNCTION("""COMPUTED_VALUE"""),"The Hunter")</f>
        <v>The Hunter</v>
      </c>
      <c r="D159" s="18" t="str">
        <f>IFERROR(__xludf.DUMMYFUNCTION("""COMPUTED_VALUE"""),"L. J. Shen")</f>
        <v>L. J. Shen</v>
      </c>
      <c r="E159" s="18" t="str">
        <f>IFERROR(__xludf.DUMMYFUNCTION("""COMPUTED_VALUE"""),"M/F")</f>
        <v>M/F</v>
      </c>
      <c r="F159" s="18"/>
      <c r="G159" s="18"/>
      <c r="H159" s="18" t="str">
        <f>IFERROR(__xludf.DUMMYFUNCTION("""COMPUTED_VALUE"""),"Dual POV, First person")</f>
        <v>Dual POV, First person</v>
      </c>
      <c r="I159" s="18" t="str">
        <f>IFERROR(__xludf.DUMMYFUNCTION("""COMPUTED_VALUE"""),"Contemporary")</f>
        <v>Contemporary</v>
      </c>
      <c r="J159" s="18" t="str">
        <f>IFERROR(__xludf.DUMMYFUNCTION("""COMPUTED_VALUE"""),"Billionaires/Millionaires/Gazillionaires etc, Caretaker/Nanny/Governess, Enemies-to-lovers (or dislike-to-love), Ordinary MC- Average looks or career")</f>
        <v>Billionaires/Millionaires/Gazillionaires etc, Caretaker/Nanny/Governess, Enemies-to-lovers (or dislike-to-love), Ordinary MC- Average looks or career</v>
      </c>
      <c r="K159" s="18" t="str">
        <f>IFERROR(__xludf.DUMMYFUNCTION("""COMPUTED_VALUE"""),"North America")</f>
        <v>North America</v>
      </c>
      <c r="L159" s="18" t="str">
        <f>IFERROR(__xludf.DUMMYFUNCTION("""COMPUTED_VALUE"""),"Level 4- Heavy sexual content, mature audiences only")</f>
        <v>Level 4- Heavy sexual content, mature audiences only</v>
      </c>
      <c r="M159" s="18"/>
      <c r="N159" s="18"/>
      <c r="O159" s="18" t="str">
        <f>IFERROR(__xludf.DUMMYFUNCTION("""COMPUTED_VALUE"""),"Boston Belles #1")</f>
        <v>Boston Belles #1</v>
      </c>
      <c r="P159" s="18" t="str">
        <f>IFERROR(__xludf.DUMMYFUNCTION("""COMPUTED_VALUE"""),"Tingle, Laugh, Smolder")</f>
        <v>Tingle, Laugh, Smolder</v>
      </c>
      <c r="Q159" s="18"/>
      <c r="R159" s="19" t="str">
        <f>IFERROR(__xludf.DUMMYFUNCTION("""COMPUTED_VALUE"""),"No")</f>
        <v>No</v>
      </c>
      <c r="S159" s="20" t="str">
        <f>IFERROR(__xludf.DUMMYFUNCTION("""COMPUTED_VALUE"""),"https://www.goodreads.com/en/book/show/46038707-the-hunter")</f>
        <v>https://www.goodreads.com/en/book/show/46038707-the-hunter</v>
      </c>
    </row>
    <row r="160">
      <c r="A160" s="16">
        <f>IFERROR(__xludf.DUMMYFUNCTION("""COMPUTED_VALUE"""),44780.96390608796)</f>
        <v>44780.96391</v>
      </c>
      <c r="B160" s="13" t="str">
        <f>IFERROR(__xludf.DUMMYFUNCTION("""COMPUTED_VALUE"""),"Add new entry")</f>
        <v>Add new entry</v>
      </c>
      <c r="C160" s="17" t="str">
        <f>IFERROR(__xludf.DUMMYFUNCTION("""COMPUTED_VALUE"""),"Vicious")</f>
        <v>Vicious</v>
      </c>
      <c r="D160" s="18" t="str">
        <f>IFERROR(__xludf.DUMMYFUNCTION("""COMPUTED_VALUE"""),"L. J. Shen")</f>
        <v>L. J. Shen</v>
      </c>
      <c r="E160" s="18" t="str">
        <f>IFERROR(__xludf.DUMMYFUNCTION("""COMPUTED_VALUE"""),"M/F")</f>
        <v>M/F</v>
      </c>
      <c r="F160" s="18"/>
      <c r="G160" s="18"/>
      <c r="H160" s="18" t="str">
        <f>IFERROR(__xludf.DUMMYFUNCTION("""COMPUTED_VALUE"""),"Single POV, First person")</f>
        <v>Single POV, First person</v>
      </c>
      <c r="I160" s="18" t="str">
        <f>IFERROR(__xludf.DUMMYFUNCTION("""COMPUTED_VALUE"""),"Contemporary, Dark")</f>
        <v>Contemporary, Dark</v>
      </c>
      <c r="J160" s="18" t="str">
        <f>IFERROR(__xludf.DUMMYFUNCTION("""COMPUTED_VALUE"""),"Antihero/Villian/Stockholm Syndrome, Angst, Billionaires/Millionaires/Gazillionaires etc, Bully/Reformed Bully, Enemies-to-lovers (or dislike-to-love)")</f>
        <v>Antihero/Villian/Stockholm Syndrome, Angst, Billionaires/Millionaires/Gazillionaires etc, Bully/Reformed Bully, Enemies-to-lovers (or dislike-to-love)</v>
      </c>
      <c r="K160" s="18" t="str">
        <f>IFERROR(__xludf.DUMMYFUNCTION("""COMPUTED_VALUE"""),"North America")</f>
        <v>North America</v>
      </c>
      <c r="L160" s="18" t="str">
        <f>IFERROR(__xludf.DUMMYFUNCTION("""COMPUTED_VALUE"""),"Level 4- Heavy sexual content, mature audiences only")</f>
        <v>Level 4- Heavy sexual content, mature audiences only</v>
      </c>
      <c r="M160" s="18"/>
      <c r="N160" s="18"/>
      <c r="O160" s="18" t="str">
        <f>IFERROR(__xludf.DUMMYFUNCTION("""COMPUTED_VALUE"""),"Sinners of Saint #1")</f>
        <v>Sinners of Saint #1</v>
      </c>
      <c r="P160" s="18" t="str">
        <f>IFERROR(__xludf.DUMMYFUNCTION("""COMPUTED_VALUE"""),"Swoon, Cry, Rage")</f>
        <v>Swoon, Cry, Rage</v>
      </c>
      <c r="Q160" s="18"/>
      <c r="R160" s="19" t="str">
        <f>IFERROR(__xludf.DUMMYFUNCTION("""COMPUTED_VALUE"""),"No")</f>
        <v>No</v>
      </c>
      <c r="S160" s="20" t="str">
        <f>IFERROR(__xludf.DUMMYFUNCTION("""COMPUTED_VALUE"""),"https://www.goodreads.com/book/show/30839185-vicious")</f>
        <v>https://www.goodreads.com/book/show/30839185-vicious</v>
      </c>
    </row>
    <row r="161">
      <c r="A161" s="16">
        <f>IFERROR(__xludf.DUMMYFUNCTION("""COMPUTED_VALUE"""),44780.9074094213)</f>
        <v>44780.90741</v>
      </c>
      <c r="B161" s="13" t="str">
        <f>IFERROR(__xludf.DUMMYFUNCTION("""COMPUTED_VALUE"""),"Add new entry")</f>
        <v>Add new entry</v>
      </c>
      <c r="C161" s="17" t="str">
        <f>IFERROR(__xludf.DUMMYFUNCTION("""COMPUTED_VALUE"""),"Budding Romance")</f>
        <v>Budding Romance</v>
      </c>
      <c r="D161" s="18" t="str">
        <f>IFERROR(__xludf.DUMMYFUNCTION("""COMPUTED_VALUE"""),"Lara Kinsey")</f>
        <v>Lara Kinsey</v>
      </c>
      <c r="E161" s="18" t="str">
        <f>IFERROR(__xludf.DUMMYFUNCTION("""COMPUTED_VALUE"""),"F/F")</f>
        <v>F/F</v>
      </c>
      <c r="F161" s="18" t="str">
        <f>IFERROR(__xludf.DUMMYFUNCTION("""COMPUTED_VALUE"""),"LGBTQIA+ &amp; GSM (Gender and Sexual Minorities)")</f>
        <v>LGBTQIA+ &amp; GSM (Gender and Sexual Minorities)</v>
      </c>
      <c r="G161" s="18"/>
      <c r="H161" s="18" t="str">
        <f>IFERROR(__xludf.DUMMYFUNCTION("""COMPUTED_VALUE"""),"Dual POV, Third person")</f>
        <v>Dual POV, Third person</v>
      </c>
      <c r="I161" s="18" t="str">
        <f>IFERROR(__xludf.DUMMYFUNCTION("""COMPUTED_VALUE"""),"Historical Romance")</f>
        <v>Historical Romance</v>
      </c>
      <c r="J161" s="18" t="str">
        <f>IFERROR(__xludf.DUMMYFUNCTION("""COMPUTED_VALUE"""),"Age Difference, Blue Collar/Farmer/Rancher etc, Forced Proximity, Mature (35 and over), Novella or Short Story, Sweet MC- beta hero/kindhearted heroine/etc, Victorian")</f>
        <v>Age Difference, Blue Collar/Farmer/Rancher etc, Forced Proximity, Mature (35 and over), Novella or Short Story, Sweet MC- beta hero/kindhearted heroine/etc, Victorian</v>
      </c>
      <c r="K161" s="18"/>
      <c r="L161" s="18" t="str">
        <f>IFERROR(__xludf.DUMMYFUNCTION("""COMPUTED_VALUE"""),"Level 3- Sexual content in a few chapters")</f>
        <v>Level 3- Sexual content in a few chapters</v>
      </c>
      <c r="M161" s="18"/>
      <c r="N161" s="18" t="str">
        <f>IFERROR(__xludf.DUMMYFUNCTION("""COMPUTED_VALUE"""),"Series- follows one couple")</f>
        <v>Series- follows one couple</v>
      </c>
      <c r="O161" s="18" t="str">
        <f>IFERROR(__xludf.DUMMYFUNCTION("""COMPUTED_VALUE"""),"Nicolette &amp; Dorothea #1")</f>
        <v>Nicolette &amp; Dorothea #1</v>
      </c>
      <c r="P161" s="18" t="str">
        <f>IFERROR(__xludf.DUMMYFUNCTION("""COMPUTED_VALUE"""),"Swoon, Laugh, Transported")</f>
        <v>Swoon, Laugh, Transported</v>
      </c>
      <c r="Q161" s="18" t="str">
        <f>IFERROR(__xludf.DUMMYFUNCTION("""COMPUTED_VALUE"""),"Consumption of alcohol, on-page sex")</f>
        <v>Consumption of alcohol, on-page sex</v>
      </c>
      <c r="R161" s="19" t="str">
        <f>IFERROR(__xludf.DUMMYFUNCTION("""COMPUTED_VALUE"""),"No")</f>
        <v>No</v>
      </c>
      <c r="S161" s="20" t="str">
        <f>IFERROR(__xludf.DUMMYFUNCTION("""COMPUTED_VALUE"""),"https://www.goodreads.com/book/show/53345432-budding-romance")</f>
        <v>https://www.goodreads.com/book/show/53345432-budding-romance</v>
      </c>
    </row>
    <row r="162">
      <c r="A162" s="16">
        <f>IFERROR(__xludf.DUMMYFUNCTION("""COMPUTED_VALUE"""),44780.91122296297)</f>
        <v>44780.91122</v>
      </c>
      <c r="B162" s="13" t="str">
        <f>IFERROR(__xludf.DUMMYFUNCTION("""COMPUTED_VALUE"""),"Add new entry")</f>
        <v>Add new entry</v>
      </c>
      <c r="C162" s="17" t="str">
        <f>IFERROR(__xludf.DUMMYFUNCTION("""COMPUTED_VALUE"""),"Hammer &amp; Tongs")</f>
        <v>Hammer &amp; Tongs</v>
      </c>
      <c r="D162" s="18" t="str">
        <f>IFERROR(__xludf.DUMMYFUNCTION("""COMPUTED_VALUE"""),"Lara Kinsey")</f>
        <v>Lara Kinsey</v>
      </c>
      <c r="E162" s="18" t="str">
        <f>IFERROR(__xludf.DUMMYFUNCTION("""COMPUTED_VALUE"""),"M/F")</f>
        <v>M/F</v>
      </c>
      <c r="F162" s="18" t="str">
        <f>IFERROR(__xludf.DUMMYFUNCTION("""COMPUTED_VALUE"""),"LGBTQIA+ &amp; GSM (Gender and Sexual Minorities)")</f>
        <v>LGBTQIA+ &amp; GSM (Gender and Sexual Minorities)</v>
      </c>
      <c r="G162" s="18" t="str">
        <f>IFERROR(__xludf.DUMMYFUNCTION("""COMPUTED_VALUE"""),"MMC is bisexual, FMC crossdresses")</f>
        <v>MMC is bisexual, FMC crossdresses</v>
      </c>
      <c r="H162" s="18" t="str">
        <f>IFERROR(__xludf.DUMMYFUNCTION("""COMPUTED_VALUE"""),"Dual POV, Third person")</f>
        <v>Dual POV, Third person</v>
      </c>
      <c r="I162" s="18" t="str">
        <f>IFERROR(__xludf.DUMMYFUNCTION("""COMPUTED_VALUE"""),"Historical Romance")</f>
        <v>Historical Romance</v>
      </c>
      <c r="J162" s="18" t="str">
        <f>IFERROR(__xludf.DUMMYFUNCTION("""COMPUTED_VALUE"""),"Blue Collar/Farmer/Rancher etc, Coworkers or Colleagues, Early 20th Century, Insta-lust/Insta-love/Insta-coffee, Mafia/Gang/Criminal, Novella or Short Story, Sweet MC- beta hero/kindhearted heroine/etc")</f>
        <v>Blue Collar/Farmer/Rancher etc, Coworkers or Colleagues, Early 20th Century, Insta-lust/Insta-love/Insta-coffee, Mafia/Gang/Criminal, Novella or Short Story, Sweet MC- beta hero/kindhearted heroine/etc</v>
      </c>
      <c r="K162" s="18"/>
      <c r="L162" s="18" t="str">
        <f>IFERROR(__xludf.DUMMYFUNCTION("""COMPUTED_VALUE"""),"Level 4- Heavy sexual content, mature audiences only")</f>
        <v>Level 4- Heavy sexual content, mature audiences only</v>
      </c>
      <c r="M162" s="18" t="str">
        <f>IFERROR(__xludf.DUMMYFUNCTION("""COMPUTED_VALUE"""),"Femdom, Pegging")</f>
        <v>Femdom, Pegging</v>
      </c>
      <c r="N162" s="18" t="str">
        <f>IFERROR(__xludf.DUMMYFUNCTION("""COMPUTED_VALUE"""),"Series- can be read as standalones")</f>
        <v>Series- can be read as standalones</v>
      </c>
      <c r="O162" s="18" t="str">
        <f>IFERROR(__xludf.DUMMYFUNCTION("""COMPUTED_VALUE"""),"Chances Limited #1")</f>
        <v>Chances Limited #1</v>
      </c>
      <c r="P162" s="18" t="str">
        <f>IFERROR(__xludf.DUMMYFUNCTION("""COMPUTED_VALUE"""),"Swoon, Tingle, Feel feels, Learn")</f>
        <v>Swoon, Tingle, Feel feels, Learn</v>
      </c>
      <c r="Q162" s="18" t="str">
        <f>IFERROR(__xludf.DUMMYFUNCTION("""COMPUTED_VALUE"""),"Discussion of gender identity, cisgender masculine of center woman presenting as male for part of the book, explicit sexual content, cigarettes, alcohol, discussion of trauma (war), discussion of animal neglect. All animals are fine at the end and no one "&amp;"dies.")</f>
        <v>Discussion of gender identity, cisgender masculine of center woman presenting as male for part of the book, explicit sexual content, cigarettes, alcohol, discussion of trauma (war), discussion of animal neglect. All animals are fine at the end and no one dies.</v>
      </c>
      <c r="R162" s="19" t="str">
        <f>IFERROR(__xludf.DUMMYFUNCTION("""COMPUTED_VALUE"""),"No")</f>
        <v>No</v>
      </c>
      <c r="S162" s="20" t="str">
        <f>IFERROR(__xludf.DUMMYFUNCTION("""COMPUTED_VALUE"""),"https://www.goodreads.com/book/show/50695561-hammer-tongs-chances-limited-book-1")</f>
        <v>https://www.goodreads.com/book/show/50695561-hammer-tongs-chances-limited-book-1</v>
      </c>
    </row>
    <row r="163">
      <c r="A163" s="16">
        <f>IFERROR(__xludf.DUMMYFUNCTION("""COMPUTED_VALUE"""),44780.91375619213)</f>
        <v>44780.91376</v>
      </c>
      <c r="B163" s="13" t="str">
        <f>IFERROR(__xludf.DUMMYFUNCTION("""COMPUTED_VALUE"""),"Add new entry")</f>
        <v>Add new entry</v>
      </c>
      <c r="C163" s="17" t="str">
        <f>IFERROR(__xludf.DUMMYFUNCTION("""COMPUTED_VALUE"""),"Trouble &amp; Strife")</f>
        <v>Trouble &amp; Strife</v>
      </c>
      <c r="D163" s="18" t="str">
        <f>IFERROR(__xludf.DUMMYFUNCTION("""COMPUTED_VALUE"""),"Lara Kinsey")</f>
        <v>Lara Kinsey</v>
      </c>
      <c r="E163" s="18" t="str">
        <f>IFERROR(__xludf.DUMMYFUNCTION("""COMPUTED_VALUE"""),"M/F")</f>
        <v>M/F</v>
      </c>
      <c r="F163" s="18" t="str">
        <f>IFERROR(__xludf.DUMMYFUNCTION("""COMPUTED_VALUE"""),"LGBTQIA+ &amp; GSM (Gender and Sexual Minorities), Physical disability or illness, Fat/Plus Size/Body Positive")</f>
        <v>LGBTQIA+ &amp; GSM (Gender and Sexual Minorities), Physical disability or illness, Fat/Plus Size/Body Positive</v>
      </c>
      <c r="G163" s="18" t="str">
        <f>IFERROR(__xludf.DUMMYFUNCTION("""COMPUTED_VALUE"""),"MMC is bisexual, FMC is plus size and has chronic pelvic pain")</f>
        <v>MMC is bisexual, FMC is plus size and has chronic pelvic pain</v>
      </c>
      <c r="H163" s="18" t="str">
        <f>IFERROR(__xludf.DUMMYFUNCTION("""COMPUTED_VALUE"""),"Dual POV")</f>
        <v>Dual POV</v>
      </c>
      <c r="I163" s="18" t="str">
        <f>IFERROR(__xludf.DUMMYFUNCTION("""COMPUTED_VALUE"""),"Historical Romance")</f>
        <v>Historical Romance</v>
      </c>
      <c r="J163" s="18" t="str">
        <f>IFERROR(__xludf.DUMMYFUNCTION("""COMPUTED_VALUE"""),"Blue Collar/Farmer/Rancher etc, Early 20th Century, Foodies- Chef/Baker/Bartender etc, Insta-lust/Insta-love/Insta-coffee, Mafia/Gang/Criminal, Mature (35 and over), Novella or Short Story, Opposites Attract, Sweet MC- beta hero/kindhearted heroine/etc")</f>
        <v>Blue Collar/Farmer/Rancher etc, Early 20th Century, Foodies- Chef/Baker/Bartender etc, Insta-lust/Insta-love/Insta-coffee, Mafia/Gang/Criminal, Mature (35 and over), Novella or Short Story, Opposites Attract, Sweet MC- beta hero/kindhearted heroine/etc</v>
      </c>
      <c r="K163" s="18"/>
      <c r="L163" s="18"/>
      <c r="M163" s="18" t="str">
        <f>IFERROR(__xludf.DUMMYFUNCTION("""COMPUTED_VALUE"""),"Femdom")</f>
        <v>Femdom</v>
      </c>
      <c r="N163" s="18" t="str">
        <f>IFERROR(__xludf.DUMMYFUNCTION("""COMPUTED_VALUE"""),"Series- can be read as standalones")</f>
        <v>Series- can be read as standalones</v>
      </c>
      <c r="O163" s="18" t="str">
        <f>IFERROR(__xludf.DUMMYFUNCTION("""COMPUTED_VALUE"""),"Chances Limited #2")</f>
        <v>Chances Limited #2</v>
      </c>
      <c r="P163" s="18" t="str">
        <f>IFERROR(__xludf.DUMMYFUNCTION("""COMPUTED_VALUE"""),"Swoon, Feel feels, Inspired")</f>
        <v>Swoon, Feel feels, Inspired</v>
      </c>
      <c r="Q163" s="18" t="str">
        <f>IFERROR(__xludf.DUMMYFUNCTION("""COMPUTED_VALUE"""),"Alcohol, recollection of past trauma (war and domestic violence), mention of cocaine, mention of fatphobia from a medical professional, death of a romantic partner many years prior to the start of the story.")</f>
        <v>Alcohol, recollection of past trauma (war and domestic violence), mention of cocaine, mention of fatphobia from a medical professional, death of a romantic partner many years prior to the start of the story.</v>
      </c>
      <c r="R163" s="19" t="str">
        <f>IFERROR(__xludf.DUMMYFUNCTION("""COMPUTED_VALUE"""),"No")</f>
        <v>No</v>
      </c>
      <c r="S163" s="20" t="str">
        <f>IFERROR(__xludf.DUMMYFUNCTION("""COMPUTED_VALUE"""),"https://www.goodreads.com/book/show/52316904-trouble-strife")</f>
        <v>https://www.goodreads.com/book/show/52316904-trouble-strife</v>
      </c>
    </row>
    <row r="164">
      <c r="A164" s="16">
        <f>IFERROR(__xludf.DUMMYFUNCTION("""COMPUTED_VALUE"""),44780.916150868055)</f>
        <v>44780.91615</v>
      </c>
      <c r="B164" s="13" t="str">
        <f>IFERROR(__xludf.DUMMYFUNCTION("""COMPUTED_VALUE"""),"Add new entry")</f>
        <v>Add new entry</v>
      </c>
      <c r="C164" s="17" t="str">
        <f>IFERROR(__xludf.DUMMYFUNCTION("""COMPUTED_VALUE"""),"Worth The Wait")</f>
        <v>Worth The Wait</v>
      </c>
      <c r="D164" s="18" t="str">
        <f>IFERROR(__xludf.DUMMYFUNCTION("""COMPUTED_VALUE"""),"Lara Kinsey")</f>
        <v>Lara Kinsey</v>
      </c>
      <c r="E164" s="18" t="str">
        <f>IFERROR(__xludf.DUMMYFUNCTION("""COMPUTED_VALUE"""),"F/F")</f>
        <v>F/F</v>
      </c>
      <c r="F164" s="18" t="str">
        <f>IFERROR(__xludf.DUMMYFUNCTION("""COMPUTED_VALUE"""),"LGBTQIA+ &amp; GSM (Gender and Sexual Minorities)")</f>
        <v>LGBTQIA+ &amp; GSM (Gender and Sexual Minorities)</v>
      </c>
      <c r="G164" s="18"/>
      <c r="H164" s="18" t="str">
        <f>IFERROR(__xludf.DUMMYFUNCTION("""COMPUTED_VALUE"""),"Single POV")</f>
        <v>Single POV</v>
      </c>
      <c r="I164" s="18" t="str">
        <f>IFERROR(__xludf.DUMMYFUNCTION("""COMPUTED_VALUE"""),"Historical Romance")</f>
        <v>Historical Romance</v>
      </c>
      <c r="J164" s="18" t="str">
        <f>IFERROR(__xludf.DUMMYFUNCTION("""COMPUTED_VALUE"""),"Class Differences, Coworkers or Colleagues, Forced Proximity, Novella or Short Story, Victorian")</f>
        <v>Class Differences, Coworkers or Colleagues, Forced Proximity, Novella or Short Story, Victorian</v>
      </c>
      <c r="K164" s="18"/>
      <c r="L164" s="18" t="str">
        <f>IFERROR(__xludf.DUMMYFUNCTION("""COMPUTED_VALUE"""),"Level 4- Heavy sexual content, mature audiences only")</f>
        <v>Level 4- Heavy sexual content, mature audiences only</v>
      </c>
      <c r="M164" s="18"/>
      <c r="N164" s="18" t="str">
        <f>IFERROR(__xludf.DUMMYFUNCTION("""COMPUTED_VALUE"""),"Standalone (not part of a series)")</f>
        <v>Standalone (not part of a series)</v>
      </c>
      <c r="O164" s="18"/>
      <c r="P164" s="18" t="str">
        <f>IFERROR(__xludf.DUMMYFUNCTION("""COMPUTED_VALUE"""),"Feel feels")</f>
        <v>Feel feels</v>
      </c>
      <c r="Q164" s="18"/>
      <c r="R164" s="19" t="str">
        <f>IFERROR(__xludf.DUMMYFUNCTION("""COMPUTED_VALUE"""),"No")</f>
        <v>No</v>
      </c>
      <c r="S164" s="20" t="str">
        <f>IFERROR(__xludf.DUMMYFUNCTION("""COMPUTED_VALUE"""),"https://www.goodreads.com/book/show/52525171-worth-the-wait")</f>
        <v>https://www.goodreads.com/book/show/52525171-worth-the-wait</v>
      </c>
    </row>
    <row r="165">
      <c r="A165" s="16">
        <f>IFERROR(__xludf.DUMMYFUNCTION("""COMPUTED_VALUE"""),44780.92018944444)</f>
        <v>44780.92019</v>
      </c>
      <c r="B165" s="13" t="str">
        <f>IFERROR(__xludf.DUMMYFUNCTION("""COMPUTED_VALUE"""),"Add new entry")</f>
        <v>Add new entry</v>
      </c>
      <c r="C165" s="17" t="str">
        <f>IFERROR(__xludf.DUMMYFUNCTION("""COMPUTED_VALUE"""),"Famine")</f>
        <v>Famine</v>
      </c>
      <c r="D165" s="18" t="str">
        <f>IFERROR(__xludf.DUMMYFUNCTION("""COMPUTED_VALUE"""),"Laura Thalassa")</f>
        <v>Laura Thalassa</v>
      </c>
      <c r="E165" s="18" t="str">
        <f>IFERROR(__xludf.DUMMYFUNCTION("""COMPUTED_VALUE"""),"M/F")</f>
        <v>M/F</v>
      </c>
      <c r="F165" s="18"/>
      <c r="G165" s="18"/>
      <c r="H165" s="18" t="str">
        <f>IFERROR(__xludf.DUMMYFUNCTION("""COMPUTED_VALUE"""),"Single POV")</f>
        <v>Single POV</v>
      </c>
      <c r="I165" s="18" t="str">
        <f>IFERROR(__xludf.DUMMYFUNCTION("""COMPUTED_VALUE"""),"Adventure, Fantasy &amp; Gothic")</f>
        <v>Adventure, Fantasy &amp; Gothic</v>
      </c>
      <c r="J165" s="18" t="str">
        <f>IFERROR(__xludf.DUMMYFUNCTION("""COMPUTED_VALUE"""),"Antihero/Villian/Stockholm Syndrome, Dystopian, Enemies-to-lovers (or dislike-to-love), Escort/Sex worker/Courtesan, Forced Proximity, Retellings- Fairytale/Folklore/Mythology")</f>
        <v>Antihero/Villian/Stockholm Syndrome, Dystopian, Enemies-to-lovers (or dislike-to-love), Escort/Sex worker/Courtesan, Forced Proximity, Retellings- Fairytale/Folklore/Mythology</v>
      </c>
      <c r="K165" s="18"/>
      <c r="L165" s="18" t="str">
        <f>IFERROR(__xludf.DUMMYFUNCTION("""COMPUTED_VALUE"""),"Level 3- Sexual content in a few chapters")</f>
        <v>Level 3- Sexual content in a few chapters</v>
      </c>
      <c r="M165" s="18"/>
      <c r="N165" s="18"/>
      <c r="O165" s="18" t="str">
        <f>IFERROR(__xludf.DUMMYFUNCTION("""COMPUTED_VALUE"""),"The Four Horsemen #3")</f>
        <v>The Four Horsemen #3</v>
      </c>
      <c r="P165" s="18" t="str">
        <f>IFERROR(__xludf.DUMMYFUNCTION("""COMPUTED_VALUE"""),"Swoon")</f>
        <v>Swoon</v>
      </c>
      <c r="Q165" s="18" t="str">
        <f>IFERROR(__xludf.DUMMYFUNCTION("""COMPUTED_VALUE"""),"Physical abuse, sexual abuse, violence")</f>
        <v>Physical abuse, sexual abuse, violence</v>
      </c>
      <c r="R165" s="19" t="str">
        <f>IFERROR(__xludf.DUMMYFUNCTION("""COMPUTED_VALUE"""),"No")</f>
        <v>No</v>
      </c>
      <c r="S165" s="20" t="str">
        <f>IFERROR(__xludf.DUMMYFUNCTION("""COMPUTED_VALUE"""),"https://www.goodreads.com/book/show/49480530-famine")</f>
        <v>https://www.goodreads.com/book/show/49480530-famine</v>
      </c>
    </row>
    <row r="166">
      <c r="A166" s="16">
        <f>IFERROR(__xludf.DUMMYFUNCTION("""COMPUTED_VALUE"""),44780.922093981484)</f>
        <v>44780.92209</v>
      </c>
      <c r="B166" s="13" t="str">
        <f>IFERROR(__xludf.DUMMYFUNCTION("""COMPUTED_VALUE"""),"Add new entry")</f>
        <v>Add new entry</v>
      </c>
      <c r="C166" s="17" t="str">
        <f>IFERROR(__xludf.DUMMYFUNCTION("""COMPUTED_VALUE"""),"Pestilence")</f>
        <v>Pestilence</v>
      </c>
      <c r="D166" s="18" t="str">
        <f>IFERROR(__xludf.DUMMYFUNCTION("""COMPUTED_VALUE"""),"Laura Thalassa")</f>
        <v>Laura Thalassa</v>
      </c>
      <c r="E166" s="18" t="str">
        <f>IFERROR(__xludf.DUMMYFUNCTION("""COMPUTED_VALUE"""),"M/F")</f>
        <v>M/F</v>
      </c>
      <c r="F166" s="18"/>
      <c r="G166" s="18"/>
      <c r="H166" s="18" t="str">
        <f>IFERROR(__xludf.DUMMYFUNCTION("""COMPUTED_VALUE"""),"Single POV")</f>
        <v>Single POV</v>
      </c>
      <c r="I166" s="18" t="str">
        <f>IFERROR(__xludf.DUMMYFUNCTION("""COMPUTED_VALUE"""),"Adventure, Fantasy &amp; Gothic")</f>
        <v>Adventure, Fantasy &amp; Gothic</v>
      </c>
      <c r="J166" s="18" t="str">
        <f>IFERROR(__xludf.DUMMYFUNCTION("""COMPUTED_VALUE"""),"Antihero/Villian/Stockholm Syndrome, Dystopian, Enemies-to-lovers (or dislike-to-love), Forced Proximity, Retellings- Fairytale/Folklore/Mythology, Road Trip/Travel")</f>
        <v>Antihero/Villian/Stockholm Syndrome, Dystopian, Enemies-to-lovers (or dislike-to-love), Forced Proximity, Retellings- Fairytale/Folklore/Mythology, Road Trip/Travel</v>
      </c>
      <c r="K166" s="18"/>
      <c r="L166" s="18" t="str">
        <f>IFERROR(__xludf.DUMMYFUNCTION("""COMPUTED_VALUE"""),"Level 3- Sexual content in a few chapters")</f>
        <v>Level 3- Sexual content in a few chapters</v>
      </c>
      <c r="M166" s="18"/>
      <c r="N166" s="18"/>
      <c r="O166" s="18" t="str">
        <f>IFERROR(__xludf.DUMMYFUNCTION("""COMPUTED_VALUE"""),"The Four Horsemen #1")</f>
        <v>The Four Horsemen #1</v>
      </c>
      <c r="P166" s="18"/>
      <c r="Q166" s="18" t="str">
        <f>IFERROR(__xludf.DUMMYFUNCTION("""COMPUTED_VALUE"""),"Violence, kidnapping, pandemic, death of child, abuse")</f>
        <v>Violence, kidnapping, pandemic, death of child, abuse</v>
      </c>
      <c r="R166" s="19" t="str">
        <f>IFERROR(__xludf.DUMMYFUNCTION("""COMPUTED_VALUE"""),"No")</f>
        <v>No</v>
      </c>
      <c r="S166" s="20" t="str">
        <f>IFERROR(__xludf.DUMMYFUNCTION("""COMPUTED_VALUE"""),"https://www.goodreads.com/book/show/41831210-pestilence")</f>
        <v>https://www.goodreads.com/book/show/41831210-pestilence</v>
      </c>
    </row>
    <row r="167">
      <c r="A167" s="16">
        <f>IFERROR(__xludf.DUMMYFUNCTION("""COMPUTED_VALUE"""),44780.92423684028)</f>
        <v>44780.92424</v>
      </c>
      <c r="B167" s="13" t="str">
        <f>IFERROR(__xludf.DUMMYFUNCTION("""COMPUTED_VALUE"""),"Add new entry")</f>
        <v>Add new entry</v>
      </c>
      <c r="C167" s="17" t="str">
        <f>IFERROR(__xludf.DUMMYFUNCTION("""COMPUTED_VALUE"""),"War")</f>
        <v>War</v>
      </c>
      <c r="D167" s="18" t="str">
        <f>IFERROR(__xludf.DUMMYFUNCTION("""COMPUTED_VALUE"""),"Laura Thalassa")</f>
        <v>Laura Thalassa</v>
      </c>
      <c r="E167" s="18" t="str">
        <f>IFERROR(__xludf.DUMMYFUNCTION("""COMPUTED_VALUE"""),"M/F")</f>
        <v>M/F</v>
      </c>
      <c r="F167" s="18"/>
      <c r="G167" s="18"/>
      <c r="H167" s="18" t="str">
        <f>IFERROR(__xludf.DUMMYFUNCTION("""COMPUTED_VALUE"""),"Single POV")</f>
        <v>Single POV</v>
      </c>
      <c r="I167" s="18" t="str">
        <f>IFERROR(__xludf.DUMMYFUNCTION("""COMPUTED_VALUE"""),"Adventure, Fantasy &amp; Gothic")</f>
        <v>Adventure, Fantasy &amp; Gothic</v>
      </c>
      <c r="J167" s="18" t="str">
        <f>IFERROR(__xludf.DUMMYFUNCTION("""COMPUTED_VALUE"""),"Antihero/Villian/Stockholm Syndrome, Dystopian, Enemies-to-lovers (or dislike-to-love), Forced Proximity, Retellings- Fairytale/Folklore/Mythology")</f>
        <v>Antihero/Villian/Stockholm Syndrome, Dystopian, Enemies-to-lovers (or dislike-to-love), Forced Proximity, Retellings- Fairytale/Folklore/Mythology</v>
      </c>
      <c r="K167" s="18"/>
      <c r="L167" s="18" t="str">
        <f>IFERROR(__xludf.DUMMYFUNCTION("""COMPUTED_VALUE"""),"Level 3- Sexual content in a few chapters")</f>
        <v>Level 3- Sexual content in a few chapters</v>
      </c>
      <c r="M167" s="18"/>
      <c r="N167" s="18"/>
      <c r="O167" s="18" t="str">
        <f>IFERROR(__xludf.DUMMYFUNCTION("""COMPUTED_VALUE"""),"The Four Horsemen #2")</f>
        <v>The Four Horsemen #2</v>
      </c>
      <c r="P167" s="18"/>
      <c r="Q167" s="18" t="str">
        <f>IFERROR(__xludf.DUMMYFUNCTION("""COMPUTED_VALUE"""),"War, violence")</f>
        <v>War, violence</v>
      </c>
      <c r="R167" s="19" t="str">
        <f>IFERROR(__xludf.DUMMYFUNCTION("""COMPUTED_VALUE"""),"No")</f>
        <v>No</v>
      </c>
      <c r="S167" s="20" t="str">
        <f>IFERROR(__xludf.DUMMYFUNCTION("""COMPUTED_VALUE"""),"https://www.goodreads.com/book/show/49390139-war")</f>
        <v>https://www.goodreads.com/book/show/49390139-war</v>
      </c>
    </row>
    <row r="168">
      <c r="A168" s="16">
        <f>IFERROR(__xludf.DUMMYFUNCTION("""COMPUTED_VALUE"""),44780.925835243055)</f>
        <v>44780.92584</v>
      </c>
      <c r="B168" s="13" t="str">
        <f>IFERROR(__xludf.DUMMYFUNCTION("""COMPUTED_VALUE"""),"Add new entry")</f>
        <v>Add new entry</v>
      </c>
      <c r="C168" s="17" t="str">
        <f>IFERROR(__xludf.DUMMYFUNCTION("""COMPUTED_VALUE"""),"Throttled")</f>
        <v>Throttled</v>
      </c>
      <c r="D168" s="18" t="str">
        <f>IFERROR(__xludf.DUMMYFUNCTION("""COMPUTED_VALUE"""),"Lauren Asher")</f>
        <v>Lauren Asher</v>
      </c>
      <c r="E168" s="18" t="str">
        <f>IFERROR(__xludf.DUMMYFUNCTION("""COMPUTED_VALUE"""),"M/F")</f>
        <v>M/F</v>
      </c>
      <c r="F168" s="18" t="str">
        <f>IFERROR(__xludf.DUMMYFUNCTION("""COMPUTED_VALUE"""),"Mental disability or illness")</f>
        <v>Mental disability or illness</v>
      </c>
      <c r="G168" s="18"/>
      <c r="H168" s="18" t="str">
        <f>IFERROR(__xludf.DUMMYFUNCTION("""COMPUTED_VALUE"""),"Dual POV")</f>
        <v>Dual POV</v>
      </c>
      <c r="I168" s="18" t="str">
        <f>IFERROR(__xludf.DUMMYFUNCTION("""COMPUTED_VALUE"""),"Contemporary, Sports Romance")</f>
        <v>Contemporary, Sports Romance</v>
      </c>
      <c r="J168" s="18" t="str">
        <f>IFERROR(__xludf.DUMMYFUNCTION("""COMPUTED_VALUE"""),"Age Difference, Off Limits (ie; Brother's Best Friend), Road Trip/Travel")</f>
        <v>Age Difference, Off Limits (ie; Brother's Best Friend), Road Trip/Travel</v>
      </c>
      <c r="K168" s="18"/>
      <c r="L168" s="18" t="str">
        <f>IFERROR(__xludf.DUMMYFUNCTION("""COMPUTED_VALUE"""),"Level 3- Sexual content in a few chapters")</f>
        <v>Level 3- Sexual content in a few chapters</v>
      </c>
      <c r="M168" s="18"/>
      <c r="N168" s="18"/>
      <c r="O168" s="18" t="str">
        <f>IFERROR(__xludf.DUMMYFUNCTION("""COMPUTED_VALUE"""),"Dirty Air #1")</f>
        <v>Dirty Air #1</v>
      </c>
      <c r="P168" s="18" t="str">
        <f>IFERROR(__xludf.DUMMYFUNCTION("""COMPUTED_VALUE"""),"Feel feels, Transported")</f>
        <v>Feel feels, Transported</v>
      </c>
      <c r="Q168" s="18" t="str">
        <f>IFERROR(__xludf.DUMMYFUNCTION("""COMPUTED_VALUE"""),"Abuse from parent")</f>
        <v>Abuse from parent</v>
      </c>
      <c r="R168" s="19" t="str">
        <f>IFERROR(__xludf.DUMMYFUNCTION("""COMPUTED_VALUE"""),"No")</f>
        <v>No</v>
      </c>
      <c r="S168" s="20" t="str">
        <f>IFERROR(__xludf.DUMMYFUNCTION("""COMPUTED_VALUE"""),"https://www.goodreads.com/book/show/53058846-throttled")</f>
        <v>https://www.goodreads.com/book/show/53058846-throttled</v>
      </c>
    </row>
    <row r="169">
      <c r="A169" s="16">
        <f>IFERROR(__xludf.DUMMYFUNCTION("""COMPUTED_VALUE"""),44992.94711765047)</f>
        <v>44992.94712</v>
      </c>
      <c r="B169" s="13" t="str">
        <f>IFERROR(__xludf.DUMMYFUNCTION("""COMPUTED_VALUE"""),"Add new entry")</f>
        <v>Add new entry</v>
      </c>
      <c r="C169" s="17" t="str">
        <f>IFERROR(__xludf.DUMMYFUNCTION("""COMPUTED_VALUE"""),"The Fine Print")</f>
        <v>The Fine Print</v>
      </c>
      <c r="D169" s="18" t="str">
        <f>IFERROR(__xludf.DUMMYFUNCTION("""COMPUTED_VALUE"""),"Lauren Asher")</f>
        <v>Lauren Asher</v>
      </c>
      <c r="E169" s="18" t="str">
        <f>IFERROR(__xludf.DUMMYFUNCTION("""COMPUTED_VALUE"""),"M/F")</f>
        <v>M/F</v>
      </c>
      <c r="F169" s="18" t="str">
        <f>IFERROR(__xludf.DUMMYFUNCTION("""COMPUTED_VALUE"""),"BIPoC (Black, Indigenous, People of Colour), Fat/Plus Size/Body Positive")</f>
        <v>BIPoC (Black, Indigenous, People of Colour), Fat/Plus Size/Body Positive</v>
      </c>
      <c r="G169" s="18" t="str">
        <f>IFERROR(__xludf.DUMMYFUNCTION("""COMPUTED_VALUE"""),"Billionaire from Disney-like family and fairytale loving park worker")</f>
        <v>Billionaire from Disney-like family and fairytale loving park worker</v>
      </c>
      <c r="H169" s="18" t="str">
        <f>IFERROR(__xludf.DUMMYFUNCTION("""COMPUTED_VALUE"""),"Dual POV, First person")</f>
        <v>Dual POV, First person</v>
      </c>
      <c r="I169" s="18" t="str">
        <f>IFERROR(__xludf.DUMMYFUNCTION("""COMPUTED_VALUE"""),"Romantic Comedy")</f>
        <v>Romantic Comedy</v>
      </c>
      <c r="J169" s="18" t="str">
        <f>IFERROR(__xludf.DUMMYFUNCTION("""COMPUTED_VALUE"""),"Age Difference, Billionaires/Millionaires/Gazillionaires etc, Class Differences, Coworkers or Colleagues, Enemies-to-lovers (or dislike-to-love), Grumpy/Sunshine, Mistaken or False Identity, Ordinary MC- Average looks or career")</f>
        <v>Age Difference, Billionaires/Millionaires/Gazillionaires etc, Class Differences, Coworkers or Colleagues, Enemies-to-lovers (or dislike-to-love), Grumpy/Sunshine, Mistaken or False Identity, Ordinary MC- Average looks or career</v>
      </c>
      <c r="K169" s="18" t="str">
        <f>IFERROR(__xludf.DUMMYFUNCTION("""COMPUTED_VALUE"""),"North America")</f>
        <v>North America</v>
      </c>
      <c r="L169" s="18" t="str">
        <f>IFERROR(__xludf.DUMMYFUNCTION("""COMPUTED_VALUE"""),"Level 3- Sexual content in a few chapters")</f>
        <v>Level 3- Sexual content in a few chapters</v>
      </c>
      <c r="M169" s="18" t="str">
        <f>IFERROR(__xludf.DUMMYFUNCTION("""COMPUTED_VALUE"""),"Dirty Talk, Edging/Orgasm Denial, Oral sex - cunnilingus, Oral sex - fellatio, PIV sex (penis in vagina)")</f>
        <v>Dirty Talk, Edging/Orgasm Denial, Oral sex - cunnilingus, Oral sex - fellatio, PIV sex (penis in vagina)</v>
      </c>
      <c r="N169" s="18" t="str">
        <f>IFERROR(__xludf.DUMMYFUNCTION("""COMPUTED_VALUE"""),"Series- can be read as standalones")</f>
        <v>Series- can be read as standalones</v>
      </c>
      <c r="O169" s="18" t="str">
        <f>IFERROR(__xludf.DUMMYFUNCTION("""COMPUTED_VALUE"""),"Dreamland Billionaires #1")</f>
        <v>Dreamland Billionaires #1</v>
      </c>
      <c r="P169" s="18" t="str">
        <f>IFERROR(__xludf.DUMMYFUNCTION("""COMPUTED_VALUE"""),"Smolder")</f>
        <v>Smolder</v>
      </c>
      <c r="Q169" s="18" t="str">
        <f>IFERROR(__xludf.DUMMYFUNCTION("""COMPUTED_VALUE"""),"References to physical abuse and substance abuse ")</f>
        <v>References to physical abuse and substance abuse </v>
      </c>
      <c r="R169" s="19" t="str">
        <f>IFERROR(__xludf.DUMMYFUNCTION("""COMPUTED_VALUE"""),"No")</f>
        <v>No</v>
      </c>
      <c r="S169" s="20" t="str">
        <f>IFERROR(__xludf.DUMMYFUNCTION("""COMPUTED_VALUE"""),"https://www.goodreads.com/book/show/77267196")</f>
        <v>https://www.goodreads.com/book/show/77267196</v>
      </c>
    </row>
    <row r="170">
      <c r="A170" s="16">
        <f>IFERROR(__xludf.DUMMYFUNCTION("""COMPUTED_VALUE"""),44992.95016295139)</f>
        <v>44992.95016</v>
      </c>
      <c r="B170" s="13" t="str">
        <f>IFERROR(__xludf.DUMMYFUNCTION("""COMPUTED_VALUE"""),"Add new entry")</f>
        <v>Add new entry</v>
      </c>
      <c r="C170" s="17" t="str">
        <f>IFERROR(__xludf.DUMMYFUNCTION("""COMPUTED_VALUE"""),"Terms and Conditions ")</f>
        <v>Terms and Conditions </v>
      </c>
      <c r="D170" s="18" t="str">
        <f>IFERROR(__xludf.DUMMYFUNCTION("""COMPUTED_VALUE"""),"Lauren Asher")</f>
        <v>Lauren Asher</v>
      </c>
      <c r="E170" s="18" t="str">
        <f>IFERROR(__xludf.DUMMYFUNCTION("""COMPUTED_VALUE"""),"M/F")</f>
        <v>M/F</v>
      </c>
      <c r="F170" s="18" t="str">
        <f>IFERROR(__xludf.DUMMYFUNCTION("""COMPUTED_VALUE"""),"BIPoC (Black, Indigenous, People of Colour), Neurodivergent (Autism, ADHD, dyspraxia, dyslexia, etc)")</f>
        <v>BIPoC (Black, Indigenous, People of Colour), Neurodivergent (Autism, ADHD, dyspraxia, dyslexia, etc)</v>
      </c>
      <c r="G170" s="18" t="str">
        <f>IFERROR(__xludf.DUMMYFUNCTION("""COMPUTED_VALUE"""),"Billionaire from Disney-like family and his personal assistant ")</f>
        <v>Billionaire from Disney-like family and his personal assistant </v>
      </c>
      <c r="H170" s="18" t="str">
        <f>IFERROR(__xludf.DUMMYFUNCTION("""COMPUTED_VALUE"""),"Dual POV, First person")</f>
        <v>Dual POV, First person</v>
      </c>
      <c r="I170" s="18" t="str">
        <f>IFERROR(__xludf.DUMMYFUNCTION("""COMPUTED_VALUE"""),"Black Love/Black Romance, Multicultural/Interracial, Romantic Comedy")</f>
        <v>Black Love/Black Romance, Multicultural/Interracial, Romantic Comedy</v>
      </c>
      <c r="J170" s="18" t="str">
        <f>IFERROR(__xludf.DUMMYFUNCTION("""COMPUTED_VALUE"""),"Age Difference, Billionaires/Millionaires/Gazillionaires etc, Class Differences, Coworkers or Colleagues, Fake Relationship, Grumpy/Sunshine, Marriage of Convenience (or arranged marriage), Opposites Attract")</f>
        <v>Age Difference, Billionaires/Millionaires/Gazillionaires etc, Class Differences, Coworkers or Colleagues, Fake Relationship, Grumpy/Sunshine, Marriage of Convenience (or arranged marriage), Opposites Attract</v>
      </c>
      <c r="K170" s="18" t="str">
        <f>IFERROR(__xludf.DUMMYFUNCTION("""COMPUTED_VALUE"""),"North America")</f>
        <v>North America</v>
      </c>
      <c r="L170" s="18" t="str">
        <f>IFERROR(__xludf.DUMMYFUNCTION("""COMPUTED_VALUE"""),"Level 3- Sexual content in a few chapters")</f>
        <v>Level 3- Sexual content in a few chapters</v>
      </c>
      <c r="M170" s="18" t="str">
        <f>IFERROR(__xludf.DUMMYFUNCTION("""COMPUTED_VALUE"""),"Dirty Talk, Edging/Orgasm Denial, Oral sex - cunnilingus, Oral sex - fellatio, PIV sex (penis in vagina)")</f>
        <v>Dirty Talk, Edging/Orgasm Denial, Oral sex - cunnilingus, Oral sex - fellatio, PIV sex (penis in vagina)</v>
      </c>
      <c r="N170" s="18" t="str">
        <f>IFERROR(__xludf.DUMMYFUNCTION("""COMPUTED_VALUE"""),"Series- can be read as standalones")</f>
        <v>Series- can be read as standalones</v>
      </c>
      <c r="O170" s="18" t="str">
        <f>IFERROR(__xludf.DUMMYFUNCTION("""COMPUTED_VALUE"""),"Dreamland Billionaires #2")</f>
        <v>Dreamland Billionaires #2</v>
      </c>
      <c r="P170" s="18" t="str">
        <f>IFERROR(__xludf.DUMMYFUNCTION("""COMPUTED_VALUE"""),"Smolder")</f>
        <v>Smolder</v>
      </c>
      <c r="Q170" s="18" t="str">
        <f>IFERROR(__xludf.DUMMYFUNCTION("""COMPUTED_VALUE"""),"References to physical abuse and substance abuse")</f>
        <v>References to physical abuse and substance abuse</v>
      </c>
      <c r="R170" s="19" t="str">
        <f>IFERROR(__xludf.DUMMYFUNCTION("""COMPUTED_VALUE"""),"No")</f>
        <v>No</v>
      </c>
      <c r="S170" s="20" t="str">
        <f>IFERROR(__xludf.DUMMYFUNCTION("""COMPUTED_VALUE"""),"https://www.goodreads.com/book/show/86767939")</f>
        <v>https://www.goodreads.com/book/show/86767939</v>
      </c>
    </row>
    <row r="171">
      <c r="A171" s="16">
        <f>IFERROR(__xludf.DUMMYFUNCTION("""COMPUTED_VALUE"""),44780.927499803234)</f>
        <v>44780.9275</v>
      </c>
      <c r="B171" s="13" t="str">
        <f>IFERROR(__xludf.DUMMYFUNCTION("""COMPUTED_VALUE"""),"Add new entry")</f>
        <v>Add new entry</v>
      </c>
      <c r="C171" s="17" t="str">
        <f>IFERROR(__xludf.DUMMYFUNCTION("""COMPUTED_VALUE"""),"Huge Deal")</f>
        <v>Huge Deal</v>
      </c>
      <c r="D171" s="18" t="str">
        <f>IFERROR(__xludf.DUMMYFUNCTION("""COMPUTED_VALUE"""),"Lauren Layne")</f>
        <v>Lauren Layne</v>
      </c>
      <c r="E171" s="18" t="str">
        <f>IFERROR(__xludf.DUMMYFUNCTION("""COMPUTED_VALUE"""),"M/F")</f>
        <v>M/F</v>
      </c>
      <c r="F171" s="18"/>
      <c r="G171" s="18"/>
      <c r="H171" s="18"/>
      <c r="I171" s="18" t="str">
        <f>IFERROR(__xludf.DUMMYFUNCTION("""COMPUTED_VALUE"""),"Contemporary")</f>
        <v>Contemporary</v>
      </c>
      <c r="J171" s="18" t="str">
        <f>IFERROR(__xludf.DUMMYFUNCTION("""COMPUTED_VALUE"""),"Billionaires/Millionaires/Gazillionaires etc, Coworkers or Colleagues")</f>
        <v>Billionaires/Millionaires/Gazillionaires etc, Coworkers or Colleagues</v>
      </c>
      <c r="K171" s="18"/>
      <c r="L171" s="18" t="str">
        <f>IFERROR(__xludf.DUMMYFUNCTION("""COMPUTED_VALUE"""),"Level 3- Sexual content in a few chapters")</f>
        <v>Level 3- Sexual content in a few chapters</v>
      </c>
      <c r="M171" s="18"/>
      <c r="N171" s="18"/>
      <c r="O171" s="18" t="str">
        <f>IFERROR(__xludf.DUMMYFUNCTION("""COMPUTED_VALUE"""),"21 Wall Street #3")</f>
        <v>21 Wall Street #3</v>
      </c>
      <c r="P171" s="18"/>
      <c r="Q171" s="18"/>
      <c r="R171" s="19" t="str">
        <f>IFERROR(__xludf.DUMMYFUNCTION("""COMPUTED_VALUE"""),"No")</f>
        <v>No</v>
      </c>
      <c r="S171" s="20" t="str">
        <f>IFERROR(__xludf.DUMMYFUNCTION("""COMPUTED_VALUE"""),"https://www.goodreads.com/en/book/show/32841117-huge-deal")</f>
        <v>https://www.goodreads.com/en/book/show/32841117-huge-deal</v>
      </c>
    </row>
    <row r="172">
      <c r="A172" s="16">
        <f>IFERROR(__xludf.DUMMYFUNCTION("""COMPUTED_VALUE"""),44780.93011746528)</f>
        <v>44780.93012</v>
      </c>
      <c r="B172" s="13" t="str">
        <f>IFERROR(__xludf.DUMMYFUNCTION("""COMPUTED_VALUE"""),"Add new entry")</f>
        <v>Add new entry</v>
      </c>
      <c r="C172" s="17" t="str">
        <f>IFERROR(__xludf.DUMMYFUNCTION("""COMPUTED_VALUE"""),"Ball Peen Hammer")</f>
        <v>Ball Peen Hammer</v>
      </c>
      <c r="D172" s="18" t="str">
        <f>IFERROR(__xludf.DUMMYFUNCTION("""COMPUTED_VALUE"""),"Lauren Rowe")</f>
        <v>Lauren Rowe</v>
      </c>
      <c r="E172" s="18" t="str">
        <f>IFERROR(__xludf.DUMMYFUNCTION("""COMPUTED_VALUE"""),"M/F")</f>
        <v>M/F</v>
      </c>
      <c r="F172" s="18"/>
      <c r="G172" s="18"/>
      <c r="H172" s="18"/>
      <c r="I172" s="18" t="str">
        <f>IFERROR(__xludf.DUMMYFUNCTION("""COMPUTED_VALUE"""),"Contemporary, New Adult (NA), Romantic Comedy")</f>
        <v>Contemporary, New Adult (NA), Romantic Comedy</v>
      </c>
      <c r="J172" s="18" t="str">
        <f>IFERROR(__xludf.DUMMYFUNCTION("""COMPUTED_VALUE"""),"Escort/Sex worker/Courtesan, Forced Proximity, Friends-to-lovers, Opposites Attract, Road Trip/Travel")</f>
        <v>Escort/Sex worker/Courtesan, Forced Proximity, Friends-to-lovers, Opposites Attract, Road Trip/Travel</v>
      </c>
      <c r="K172" s="18"/>
      <c r="L172" s="18" t="str">
        <f>IFERROR(__xludf.DUMMYFUNCTION("""COMPUTED_VALUE"""),"Level 4- Heavy sexual content, mature audiences only")</f>
        <v>Level 4- Heavy sexual content, mature audiences only</v>
      </c>
      <c r="M172" s="18"/>
      <c r="N172" s="18"/>
      <c r="O172" s="18" t="str">
        <f>IFERROR(__xludf.DUMMYFUNCTION("""COMPUTED_VALUE"""),"The Morgan Brother #3")</f>
        <v>The Morgan Brother #3</v>
      </c>
      <c r="P172" s="18" t="str">
        <f>IFERROR(__xludf.DUMMYFUNCTION("""COMPUTED_VALUE"""),"Laugh")</f>
        <v>Laugh</v>
      </c>
      <c r="Q172" s="18" t="str">
        <f>IFERROR(__xludf.DUMMYFUNCTION("""COMPUTED_VALUE"""),"stripper MC, dead former lover")</f>
        <v>stripper MC, dead former lover</v>
      </c>
      <c r="R172" s="19" t="str">
        <f>IFERROR(__xludf.DUMMYFUNCTION("""COMPUTED_VALUE"""),"No")</f>
        <v>No</v>
      </c>
      <c r="S172" s="20" t="str">
        <f>IFERROR(__xludf.DUMMYFUNCTION("""COMPUTED_VALUE"""),"https://www.goodreads.com/book/show/30200464-ball-peen-hammer")</f>
        <v>https://www.goodreads.com/book/show/30200464-ball-peen-hammer</v>
      </c>
    </row>
    <row r="173">
      <c r="A173" s="16">
        <f>IFERROR(__xludf.DUMMYFUNCTION("""COMPUTED_VALUE"""),45684.221320324075)</f>
        <v>45684.22132</v>
      </c>
      <c r="B173" s="13" t="str">
        <f>IFERROR(__xludf.DUMMYFUNCTION("""COMPUTED_VALUE"""),"Add new entry")</f>
        <v>Add new entry</v>
      </c>
      <c r="C173" s="17" t="str">
        <f>IFERROR(__xludf.DUMMYFUNCTION("""COMPUTED_VALUE"""),"Guarded By The Snake")</f>
        <v>Guarded By The Snake</v>
      </c>
      <c r="D173" s="18" t="str">
        <f>IFERROR(__xludf.DUMMYFUNCTION("""COMPUTED_VALUE"""),"Layla Fae")</f>
        <v>Layla Fae</v>
      </c>
      <c r="E173" s="18" t="str">
        <f>IFERROR(__xludf.DUMMYFUNCTION("""COMPUTED_VALUE"""),"M/F")</f>
        <v>M/F</v>
      </c>
      <c r="F173" s="18"/>
      <c r="G173" s="18" t="str">
        <f>IFERROR(__xludf.DUMMYFUNCTION("""COMPUTED_VALUE"""),"Kim is a thief on the run; her bodyguard Asan is a dirty talking snake-like creature")</f>
        <v>Kim is a thief on the run; her bodyguard Asan is a dirty talking snake-like creature</v>
      </c>
      <c r="H173" s="18" t="str">
        <f>IFERROR(__xludf.DUMMYFUNCTION("""COMPUTED_VALUE"""),"Dual POV")</f>
        <v>Dual POV</v>
      </c>
      <c r="I173" s="18" t="str">
        <f>IFERROR(__xludf.DUMMYFUNCTION("""COMPUTED_VALUE"""),"Paranormal")</f>
        <v>Paranormal</v>
      </c>
      <c r="J173" s="18" t="str">
        <f>IFERROR(__xludf.DUMMYFUNCTION("""COMPUTED_VALUE"""),"Bodyguards &amp; Security, Creatures or Monsters- Dragon/Orc/Fae/etc, Forbidden or Taboo, Forced Proximity, Only One Bed")</f>
        <v>Bodyguards &amp; Security, Creatures or Monsters- Dragon/Orc/Fae/etc, Forbidden or Taboo, Forced Proximity, Only One Bed</v>
      </c>
      <c r="K173" s="18" t="str">
        <f>IFERROR(__xludf.DUMMYFUNCTION("""COMPUTED_VALUE"""),"North America")</f>
        <v>North America</v>
      </c>
      <c r="L173" s="18" t="str">
        <f>IFERROR(__xludf.DUMMYFUNCTION("""COMPUTED_VALUE"""),"Level 4- Heavy sexual content, mature audiences only")</f>
        <v>Level 4- Heavy sexual content, mature audiences only</v>
      </c>
      <c r="M173" s="18" t="str">
        <f>IFERROR(__xludf.DUMMYFUNCTION("""COMPUTED_VALUE"""),"Cock pocket, Dirty Talk, Double Penetration, Oral sex - cunnilingus, Oral sex - fellatio, Praise Kink, Size Kink")</f>
        <v>Cock pocket, Dirty Talk, Double Penetration, Oral sex - cunnilingus, Oral sex - fellatio, Praise Kink, Size Kink</v>
      </c>
      <c r="N173" s="18" t="str">
        <f>IFERROR(__xludf.DUMMYFUNCTION("""COMPUTED_VALUE"""),"Series- can be read as standalones")</f>
        <v>Series- can be read as standalones</v>
      </c>
      <c r="O173" s="18" t="str">
        <f>IFERROR(__xludf.DUMMYFUNCTION("""COMPUTED_VALUE"""),"Monster Security Agency #2")</f>
        <v>Monster Security Agency #2</v>
      </c>
      <c r="P173" s="18" t="str">
        <f>IFERROR(__xludf.DUMMYFUNCTION("""COMPUTED_VALUE"""),"Tingle, Smolder")</f>
        <v>Tingle, Smolder</v>
      </c>
      <c r="Q173" s="18"/>
      <c r="R173" s="19" t="str">
        <f>IFERROR(__xludf.DUMMYFUNCTION("""COMPUTED_VALUE"""),"No")</f>
        <v>No</v>
      </c>
      <c r="S173" s="20" t="str">
        <f>IFERROR(__xludf.DUMMYFUNCTION("""COMPUTED_VALUE"""),"https://www.goodreads.com/book/show/202289210-guarded-by-the-snake")</f>
        <v>https://www.goodreads.com/book/show/202289210-guarded-by-the-snake</v>
      </c>
    </row>
    <row r="174">
      <c r="A174" s="16">
        <f>IFERROR(__xludf.DUMMYFUNCTION("""COMPUTED_VALUE"""),45684.22381851851)</f>
        <v>45684.22382</v>
      </c>
      <c r="B174" s="13" t="str">
        <f>IFERROR(__xludf.DUMMYFUNCTION("""COMPUTED_VALUE"""),"Add new entry")</f>
        <v>Add new entry</v>
      </c>
      <c r="C174" s="17" t="str">
        <f>IFERROR(__xludf.DUMMYFUNCTION("""COMPUTED_VALUE"""),"Guarded By The Phantom")</f>
        <v>Guarded By The Phantom</v>
      </c>
      <c r="D174" s="18" t="str">
        <f>IFERROR(__xludf.DUMMYFUNCTION("""COMPUTED_VALUE"""),"Layla Fae")</f>
        <v>Layla Fae</v>
      </c>
      <c r="E174" s="18" t="str">
        <f>IFERROR(__xludf.DUMMYFUNCTION("""COMPUTED_VALUE"""),"M/F")</f>
        <v>M/F</v>
      </c>
      <c r="F174" s="18"/>
      <c r="G174" s="18"/>
      <c r="H174" s="18" t="str">
        <f>IFERROR(__xludf.DUMMYFUNCTION("""COMPUTED_VALUE"""),"Dual POV")</f>
        <v>Dual POV</v>
      </c>
      <c r="I174" s="18" t="str">
        <f>IFERROR(__xludf.DUMMYFUNCTION("""COMPUTED_VALUE"""),"Paranormal")</f>
        <v>Paranormal</v>
      </c>
      <c r="J174" s="18" t="str">
        <f>IFERROR(__xludf.DUMMYFUNCTION("""COMPUTED_VALUE"""),"Bodyguards &amp; Security, Class Differences, Creatures or Monsters- Dragon/Orc/Fae/etc, Opposites Attract, Slow Burn")</f>
        <v>Bodyguards &amp; Security, Class Differences, Creatures or Monsters- Dragon/Orc/Fae/etc, Opposites Attract, Slow Burn</v>
      </c>
      <c r="K174" s="18" t="str">
        <f>IFERROR(__xludf.DUMMYFUNCTION("""COMPUTED_VALUE"""),"North America")</f>
        <v>North America</v>
      </c>
      <c r="L174" s="18" t="str">
        <f>IFERROR(__xludf.DUMMYFUNCTION("""COMPUTED_VALUE"""),"Level 4- Heavy sexual content, mature audiences only")</f>
        <v>Level 4- Heavy sexual content, mature audiences only</v>
      </c>
      <c r="M174" s="18" t="str">
        <f>IFERROR(__xludf.DUMMYFUNCTION("""COMPUTED_VALUE"""),"Dirty Talk, Oral sex - cunnilingus, Oral sex - fellatio, PIV sex (penis in vagina)")</f>
        <v>Dirty Talk, Oral sex - cunnilingus, Oral sex - fellatio, PIV sex (penis in vagina)</v>
      </c>
      <c r="N174" s="18" t="str">
        <f>IFERROR(__xludf.DUMMYFUNCTION("""COMPUTED_VALUE"""),"Series- can be read as standalones")</f>
        <v>Series- can be read as standalones</v>
      </c>
      <c r="O174" s="18" t="str">
        <f>IFERROR(__xludf.DUMMYFUNCTION("""COMPUTED_VALUE"""),"Monster Security Agency #7")</f>
        <v>Monster Security Agency #7</v>
      </c>
      <c r="P174" s="18" t="str">
        <f>IFERROR(__xludf.DUMMYFUNCTION("""COMPUTED_VALUE"""),"Swoon, Tingle, Laugh, Smolder")</f>
        <v>Swoon, Tingle, Laugh, Smolder</v>
      </c>
      <c r="Q174" s="18"/>
      <c r="R174" s="19" t="str">
        <f>IFERROR(__xludf.DUMMYFUNCTION("""COMPUTED_VALUE"""),"No")</f>
        <v>No</v>
      </c>
      <c r="S174" s="20" t="str">
        <f>IFERROR(__xludf.DUMMYFUNCTION("""COMPUTED_VALUE"""),"https://www.goodreads.com/book/show/213860478-guarded-by-the-phantom")</f>
        <v>https://www.goodreads.com/book/show/213860478-guarded-by-the-phantom</v>
      </c>
    </row>
    <row r="175">
      <c r="A175" s="16">
        <f>IFERROR(__xludf.DUMMYFUNCTION("""COMPUTED_VALUE"""),45635.386804236114)</f>
        <v>45635.3868</v>
      </c>
      <c r="B175" s="13" t="str">
        <f>IFERROR(__xludf.DUMMYFUNCTION("""COMPUTED_VALUE"""),"Add new entry")</f>
        <v>Add new entry</v>
      </c>
      <c r="C175" s="17" t="str">
        <f>IFERROR(__xludf.DUMMYFUNCTION("""COMPUTED_VALUE"""),"Shared Hearts")</f>
        <v>Shared Hearts</v>
      </c>
      <c r="D175" s="18" t="str">
        <f>IFERROR(__xludf.DUMMYFUNCTION("""COMPUTED_VALUE"""),"Leigh Jack")</f>
        <v>Leigh Jack</v>
      </c>
      <c r="E175" s="18" t="str">
        <f>IFERROR(__xludf.DUMMYFUNCTION("""COMPUTED_VALUE"""),"M/F")</f>
        <v>M/F</v>
      </c>
      <c r="F175" s="18" t="str">
        <f>IFERROR(__xludf.DUMMYFUNCTION("""COMPUTED_VALUE"""),"Physical disability or illness")</f>
        <v>Physical disability or illness</v>
      </c>
      <c r="G175" s="18" t="str">
        <f>IFERROR(__xludf.DUMMYFUNCTION("""COMPUTED_VALUE"""),"The FMC is a type one diabetic. ")</f>
        <v>The FMC is a type one diabetic. </v>
      </c>
      <c r="H175" s="18" t="str">
        <f>IFERROR(__xludf.DUMMYFUNCTION("""COMPUTED_VALUE"""),"Dual POV")</f>
        <v>Dual POV</v>
      </c>
      <c r="I175" s="18" t="str">
        <f>IFERROR(__xludf.DUMMYFUNCTION("""COMPUTED_VALUE"""),"Adventure, Contemporary, Romantic Suspense")</f>
        <v>Adventure, Contemporary, Romantic Suspense</v>
      </c>
      <c r="J175" s="18" t="str">
        <f>IFERROR(__xludf.DUMMYFUNCTION("""COMPUTED_VALUE"""),"Childhood Friends, Fake Relationship, Friends-to-lovers, Spy/Intrigue/Mystery, Sweet MC- beta hero/kindhearted heroine/etc, Teacher/Writer/Librarian")</f>
        <v>Childhood Friends, Fake Relationship, Friends-to-lovers, Spy/Intrigue/Mystery, Sweet MC- beta hero/kindhearted heroine/etc, Teacher/Writer/Librarian</v>
      </c>
      <c r="K175" s="18" t="str">
        <f>IFERROR(__xludf.DUMMYFUNCTION("""COMPUTED_VALUE"""),"North America")</f>
        <v>North America</v>
      </c>
      <c r="L175" s="18" t="str">
        <f>IFERROR(__xludf.DUMMYFUNCTION("""COMPUTED_VALUE"""),"Level 2- Kisses and foreplay, everything else closed door")</f>
        <v>Level 2- Kisses and foreplay, everything else closed door</v>
      </c>
      <c r="M175" s="18" t="str">
        <f>IFERROR(__xludf.DUMMYFUNCTION("""COMPUTED_VALUE"""),"Dirty Talk")</f>
        <v>Dirty Talk</v>
      </c>
      <c r="N175" s="18" t="str">
        <f>IFERROR(__xludf.DUMMYFUNCTION("""COMPUTED_VALUE"""),"Shared Universe")</f>
        <v>Shared Universe</v>
      </c>
      <c r="O175" s="18" t="str">
        <f>IFERROR(__xludf.DUMMYFUNCTION("""COMPUTED_VALUE"""),"Hearts Series book 1")</f>
        <v>Hearts Series book 1</v>
      </c>
      <c r="P175" s="18" t="str">
        <f>IFERROR(__xludf.DUMMYFUNCTION("""COMPUTED_VALUE"""),"Swoon, Tingle, Rage, Feel feels, Smolder, Learn, Scared, Inspired")</f>
        <v>Swoon, Tingle, Rage, Feel feels, Smolder, Learn, Scared, Inspired</v>
      </c>
      <c r="Q175" s="18" t="str">
        <f>IFERROR(__xludf.DUMMYFUNCTION("""COMPUTED_VALUE"""),"stalking")</f>
        <v>stalking</v>
      </c>
      <c r="R175" s="19" t="str">
        <f>IFERROR(__xludf.DUMMYFUNCTION("""COMPUTED_VALUE"""),"No")</f>
        <v>No</v>
      </c>
      <c r="S175" s="20" t="str">
        <f>IFERROR(__xludf.DUMMYFUNCTION("""COMPUTED_VALUE"""),"https://www.goodreads.com/book/show/221108786-shared-hearts?from_search=true&amp;from_srp=true&amp;qid=Cc3hmxeDjM&amp;rank=1")</f>
        <v>https://www.goodreads.com/book/show/221108786-shared-hearts?from_search=true&amp;from_srp=true&amp;qid=Cc3hmxeDjM&amp;rank=1</v>
      </c>
    </row>
    <row r="176">
      <c r="A176" s="16">
        <f>IFERROR(__xludf.DUMMYFUNCTION("""COMPUTED_VALUE"""),44780.93163635417)</f>
        <v>44780.93164</v>
      </c>
      <c r="B176" s="13" t="str">
        <f>IFERROR(__xludf.DUMMYFUNCTION("""COMPUTED_VALUE"""),"Add new entry")</f>
        <v>Add new entry</v>
      </c>
      <c r="C176" s="17" t="str">
        <f>IFERROR(__xludf.DUMMYFUNCTION("""COMPUTED_VALUE"""),"Mister Romance")</f>
        <v>Mister Romance</v>
      </c>
      <c r="D176" s="18" t="str">
        <f>IFERROR(__xludf.DUMMYFUNCTION("""COMPUTED_VALUE"""),"Leisa Rayven")</f>
        <v>Leisa Rayven</v>
      </c>
      <c r="E176" s="18" t="str">
        <f>IFERROR(__xludf.DUMMYFUNCTION("""COMPUTED_VALUE"""),"M/F")</f>
        <v>M/F</v>
      </c>
      <c r="F176" s="18"/>
      <c r="G176" s="18"/>
      <c r="H176" s="18" t="str">
        <f>IFERROR(__xludf.DUMMYFUNCTION("""COMPUTED_VALUE"""),"Dual POV")</f>
        <v>Dual POV</v>
      </c>
      <c r="I176" s="18" t="str">
        <f>IFERROR(__xludf.DUMMYFUNCTION("""COMPUTED_VALUE"""),"Contemporary, Romantic Comedy")</f>
        <v>Contemporary, Romantic Comedy</v>
      </c>
      <c r="J176" s="18" t="str">
        <f>IFERROR(__xludf.DUMMYFUNCTION("""COMPUTED_VALUE"""),"Celebrities- Rock star/Actor/Model, Forced Proximity, Loner/Isolated, Opposites Attract, Single Parent")</f>
        <v>Celebrities- Rock star/Actor/Model, Forced Proximity, Loner/Isolated, Opposites Attract, Single Parent</v>
      </c>
      <c r="K176" s="18"/>
      <c r="L176" s="18" t="str">
        <f>IFERROR(__xludf.DUMMYFUNCTION("""COMPUTED_VALUE"""),"Level 3- Sexual content in a few chapters")</f>
        <v>Level 3- Sexual content in a few chapters</v>
      </c>
      <c r="M176" s="18"/>
      <c r="N176" s="18"/>
      <c r="O176" s="18" t="str">
        <f>IFERROR(__xludf.DUMMYFUNCTION("""COMPUTED_VALUE"""),"Masters of Love #1")</f>
        <v>Masters of Love #1</v>
      </c>
      <c r="P176" s="18"/>
      <c r="Q176" s="18" t="str">
        <f>IFERROR(__xludf.DUMMYFUNCTION("""COMPUTED_VALUE"""),"Past loss of pregnancy, drunk driving")</f>
        <v>Past loss of pregnancy, drunk driving</v>
      </c>
      <c r="R176" s="19" t="str">
        <f>IFERROR(__xludf.DUMMYFUNCTION("""COMPUTED_VALUE"""),"No")</f>
        <v>No</v>
      </c>
      <c r="S176" s="20" t="str">
        <f>IFERROR(__xludf.DUMMYFUNCTION("""COMPUTED_VALUE"""),"https://www.goodreads.com/book/show/34452618-mister-romance")</f>
        <v>https://www.goodreads.com/book/show/34452618-mister-romance</v>
      </c>
    </row>
    <row r="177">
      <c r="A177" s="16">
        <f>IFERROR(__xludf.DUMMYFUNCTION("""COMPUTED_VALUE"""),44780.95248039352)</f>
        <v>44780.95248</v>
      </c>
      <c r="B177" s="13" t="str">
        <f>IFERROR(__xludf.DUMMYFUNCTION("""COMPUTED_VALUE"""),"Add new entry")</f>
        <v>Add new entry</v>
      </c>
      <c r="C177" s="17" t="str">
        <f>IFERROR(__xludf.DUMMYFUNCTION("""COMPUTED_VALUE"""),"A Cowboy in Essex")</f>
        <v>A Cowboy in Essex</v>
      </c>
      <c r="D177" s="18" t="str">
        <f>IFERROR(__xludf.DUMMYFUNCTION("""COMPUTED_VALUE"""),"Lesley Jones")</f>
        <v>Lesley Jones</v>
      </c>
      <c r="E177" s="18" t="str">
        <f>IFERROR(__xludf.DUMMYFUNCTION("""COMPUTED_VALUE"""),"M/F")</f>
        <v>M/F</v>
      </c>
      <c r="F177" s="18"/>
      <c r="G177" s="18"/>
      <c r="H177" s="18" t="str">
        <f>IFERROR(__xludf.DUMMYFUNCTION("""COMPUTED_VALUE"""),"Dual POV, First person")</f>
        <v>Dual POV, First person</v>
      </c>
      <c r="I177" s="18" t="str">
        <f>IFERROR(__xludf.DUMMYFUNCTION("""COMPUTED_VALUE"""),"Contemporary")</f>
        <v>Contemporary</v>
      </c>
      <c r="J177" s="18" t="str">
        <f>IFERROR(__xludf.DUMMYFUNCTION("""COMPUTED_VALUE"""),"Celebrities- Rock star/Actor/Model, Forced Proximity, Loner/Isolated, Opposites Attract, Single Parent")</f>
        <v>Celebrities- Rock star/Actor/Model, Forced Proximity, Loner/Isolated, Opposites Attract, Single Parent</v>
      </c>
      <c r="K177" s="18" t="str">
        <f>IFERROR(__xludf.DUMMYFUNCTION("""COMPUTED_VALUE"""),"Europe")</f>
        <v>Europe</v>
      </c>
      <c r="L177" s="18" t="str">
        <f>IFERROR(__xludf.DUMMYFUNCTION("""COMPUTED_VALUE"""),"Level 3- Sexual content in a few chapters")</f>
        <v>Level 3- Sexual content in a few chapters</v>
      </c>
      <c r="M177" s="18"/>
      <c r="N177" s="18"/>
      <c r="O177" s="18"/>
      <c r="P177" s="18"/>
      <c r="Q177" s="18" t="str">
        <f>IFERROR(__xludf.DUMMYFUNCTION("""COMPUTED_VALUE"""),"Past loss of pregnancy, drunk driving")</f>
        <v>Past loss of pregnancy, drunk driving</v>
      </c>
      <c r="R177" s="19" t="str">
        <f>IFERROR(__xludf.DUMMYFUNCTION("""COMPUTED_VALUE"""),"No")</f>
        <v>No</v>
      </c>
      <c r="S177" s="20" t="str">
        <f>IFERROR(__xludf.DUMMYFUNCTION("""COMPUTED_VALUE"""),"https://www.goodreads.com/book/show/50489397-a-cowboy-in-essex")</f>
        <v>https://www.goodreads.com/book/show/50489397-a-cowboy-in-essex</v>
      </c>
    </row>
    <row r="178">
      <c r="A178" s="16">
        <f>IFERROR(__xludf.DUMMYFUNCTION("""COMPUTED_VALUE"""),44831.07597355324)</f>
        <v>44831.07597</v>
      </c>
      <c r="B178" s="13" t="str">
        <f>IFERROR(__xludf.DUMMYFUNCTION("""COMPUTED_VALUE"""),"Add new entry")</f>
        <v>Add new entry</v>
      </c>
      <c r="C178" s="17" t="str">
        <f>IFERROR(__xludf.DUMMYFUNCTION("""COMPUTED_VALUE"""),"Meet Me Halfway")</f>
        <v>Meet Me Halfway</v>
      </c>
      <c r="D178" s="18" t="str">
        <f>IFERROR(__xludf.DUMMYFUNCTION("""COMPUTED_VALUE"""),"Lilian T. James")</f>
        <v>Lilian T. James</v>
      </c>
      <c r="E178" s="18" t="str">
        <f>IFERROR(__xludf.DUMMYFUNCTION("""COMPUTED_VALUE"""),"M/F")</f>
        <v>M/F</v>
      </c>
      <c r="F178" s="18"/>
      <c r="G178" s="18"/>
      <c r="H178" s="18" t="str">
        <f>IFERROR(__xludf.DUMMYFUNCTION("""COMPUTED_VALUE"""),"Single POV")</f>
        <v>Single POV</v>
      </c>
      <c r="I178" s="18" t="str">
        <f>IFERROR(__xludf.DUMMYFUNCTION("""COMPUTED_VALUE"""),"Contemporary")</f>
        <v>Contemporary</v>
      </c>
      <c r="J178" s="18" t="str">
        <f>IFERROR(__xludf.DUMMYFUNCTION("""COMPUTED_VALUE"""),"Age Difference, Enemies-to-lovers (or dislike-to-love), Neighbors-to-lovers, Single Parent, Slow Burn")</f>
        <v>Age Difference, Enemies-to-lovers (or dislike-to-love), Neighbors-to-lovers, Single Parent, Slow Burn</v>
      </c>
      <c r="K178" s="18" t="str">
        <f>IFERROR(__xludf.DUMMYFUNCTION("""COMPUTED_VALUE"""),"North America")</f>
        <v>North America</v>
      </c>
      <c r="L178" s="18" t="str">
        <f>IFERROR(__xludf.DUMMYFUNCTION("""COMPUTED_VALUE"""),"Level 3- Sexual content in a few chapters")</f>
        <v>Level 3- Sexual content in a few chapters</v>
      </c>
      <c r="M178" s="18" t="str">
        <f>IFERROR(__xludf.DUMMYFUNCTION("""COMPUTED_VALUE"""),"Dirty Talk")</f>
        <v>Dirty Talk</v>
      </c>
      <c r="N178" s="18"/>
      <c r="O178" s="18"/>
      <c r="P178" s="18" t="str">
        <f>IFERROR(__xludf.DUMMYFUNCTION("""COMPUTED_VALUE"""),"Swoon, Laugh, Cry, Feel feels")</f>
        <v>Swoon, Laugh, Cry, Feel feels</v>
      </c>
      <c r="Q178" s="18" t="str">
        <f>IFERROR(__xludf.DUMMYFUNCTION("""COMPUTED_VALUE"""),"Abuse from ex (mentioned, and in one scene, not overly graphic)")</f>
        <v>Abuse from ex (mentioned, and in one scene, not overly graphic)</v>
      </c>
      <c r="R178" s="19" t="str">
        <f>IFERROR(__xludf.DUMMYFUNCTION("""COMPUTED_VALUE"""),"No")</f>
        <v>No</v>
      </c>
      <c r="S178" s="20" t="str">
        <f>IFERROR(__xludf.DUMMYFUNCTION("""COMPUTED_VALUE"""),"https://www.goodreads.com/book/show/61199573-meet-me-halfway")</f>
        <v>https://www.goodreads.com/book/show/61199573-meet-me-halfway</v>
      </c>
    </row>
    <row r="179">
      <c r="A179" s="16">
        <f>IFERROR(__xludf.DUMMYFUNCTION("""COMPUTED_VALUE"""),44782.78219121528)</f>
        <v>44782.78219</v>
      </c>
      <c r="B179" s="13" t="str">
        <f>IFERROR(__xludf.DUMMYFUNCTION("""COMPUTED_VALUE"""),"Add new entry")</f>
        <v>Add new entry</v>
      </c>
      <c r="C179" s="17" t="str">
        <f>IFERROR(__xludf.DUMMYFUNCTION("""COMPUTED_VALUE"""),"Deceived by the Gargoyles")</f>
        <v>Deceived by the Gargoyles</v>
      </c>
      <c r="D179" s="18" t="str">
        <f>IFERROR(__xludf.DUMMYFUNCTION("""COMPUTED_VALUE"""),"Lillian Lark")</f>
        <v>Lillian Lark</v>
      </c>
      <c r="E179" s="18" t="str">
        <f>IFERROR(__xludf.DUMMYFUNCTION("""COMPUTED_VALUE"""),"MMMF")</f>
        <v>MMMF</v>
      </c>
      <c r="F179" s="18" t="str">
        <f>IFERROR(__xludf.DUMMYFUNCTION("""COMPUTED_VALUE"""),"Fat/Plus Size/Body Positive")</f>
        <v>Fat/Plus Size/Body Positive</v>
      </c>
      <c r="G179" s="18"/>
      <c r="H179" s="18" t="str">
        <f>IFERROR(__xludf.DUMMYFUNCTION("""COMPUTED_VALUE"""),"Dual POV")</f>
        <v>Dual POV</v>
      </c>
      <c r="I179" s="18" t="str">
        <f>IFERROR(__xludf.DUMMYFUNCTION("""COMPUTED_VALUE"""),"Paranormal")</f>
        <v>Paranormal</v>
      </c>
      <c r="J179" s="18" t="str">
        <f>IFERROR(__xludf.DUMMYFUNCTION("""COMPUTED_VALUE"""),"Creatures or Monsters- Dragon/Orc/Fae/etc, Fated Mates, Reverse Harem/Why Choose, Witch/Wizard/Warlock etc")</f>
        <v>Creatures or Monsters- Dragon/Orc/Fae/etc, Fated Mates, Reverse Harem/Why Choose, Witch/Wizard/Warlock etc</v>
      </c>
      <c r="K179" s="18" t="str">
        <f>IFERROR(__xludf.DUMMYFUNCTION("""COMPUTED_VALUE"""),"North America")</f>
        <v>North America</v>
      </c>
      <c r="L179" s="18" t="str">
        <f>IFERROR(__xludf.DUMMYFUNCTION("""COMPUTED_VALUE"""),"Level 4- Heavy sexual content, mature audiences only")</f>
        <v>Level 4- Heavy sexual content, mature audiences only</v>
      </c>
      <c r="M179" s="18" t="str">
        <f>IFERROR(__xludf.DUMMYFUNCTION("""COMPUTED_VALUE"""),"Breeding Kink, Double Penetration, Praise Kink, Size Kink")</f>
        <v>Breeding Kink, Double Penetration, Praise Kink, Size Kink</v>
      </c>
      <c r="N179" s="18" t="str">
        <f>IFERROR(__xludf.DUMMYFUNCTION("""COMPUTED_VALUE"""),"Series- can be read as standalones")</f>
        <v>Series- can be read as standalones</v>
      </c>
      <c r="O179" s="18" t="str">
        <f>IFERROR(__xludf.DUMMYFUNCTION("""COMPUTED_VALUE"""),"Monstrous Matches 2")</f>
        <v>Monstrous Matches 2</v>
      </c>
      <c r="P179" s="18"/>
      <c r="Q179" s="18"/>
      <c r="R179" s="19" t="str">
        <f>IFERROR(__xludf.DUMMYFUNCTION("""COMPUTED_VALUE"""),"No")</f>
        <v>No</v>
      </c>
      <c r="S179" s="20" t="str">
        <f>IFERROR(__xludf.DUMMYFUNCTION("""COMPUTED_VALUE"""),"https://www.goodreads.com/book/show/59116203-deceived-by-the-gargoyles")</f>
        <v>https://www.goodreads.com/book/show/59116203-deceived-by-the-gargoyles</v>
      </c>
    </row>
    <row r="180">
      <c r="A180" s="16">
        <f>IFERROR(__xludf.DUMMYFUNCTION("""COMPUTED_VALUE"""),44782.78428753472)</f>
        <v>44782.78429</v>
      </c>
      <c r="B180" s="13" t="str">
        <f>IFERROR(__xludf.DUMMYFUNCTION("""COMPUTED_VALUE"""),"Add new entry")</f>
        <v>Add new entry</v>
      </c>
      <c r="C180" s="17" t="str">
        <f>IFERROR(__xludf.DUMMYFUNCTION("""COMPUTED_VALUE"""),"Three of Hearts")</f>
        <v>Three of Hearts</v>
      </c>
      <c r="D180" s="18" t="str">
        <f>IFERROR(__xludf.DUMMYFUNCTION("""COMPUTED_VALUE"""),"Lillian Lark")</f>
        <v>Lillian Lark</v>
      </c>
      <c r="E180" s="18" t="str">
        <f>IFERROR(__xludf.DUMMYFUNCTION("""COMPUTED_VALUE"""),"MMF")</f>
        <v>MMF</v>
      </c>
      <c r="F180" s="18"/>
      <c r="G180" s="18"/>
      <c r="H180" s="18" t="str">
        <f>IFERROR(__xludf.DUMMYFUNCTION("""COMPUTED_VALUE"""),"Dual POV")</f>
        <v>Dual POV</v>
      </c>
      <c r="I180" s="18" t="str">
        <f>IFERROR(__xludf.DUMMYFUNCTION("""COMPUTED_VALUE"""),"Paranormal")</f>
        <v>Paranormal</v>
      </c>
      <c r="J180" s="18" t="str">
        <f>IFERROR(__xludf.DUMMYFUNCTION("""COMPUTED_VALUE"""),"Fated Mates, Menage, Shifter/Wereperson")</f>
        <v>Fated Mates, Menage, Shifter/Wereperson</v>
      </c>
      <c r="K180" s="18" t="str">
        <f>IFERROR(__xludf.DUMMYFUNCTION("""COMPUTED_VALUE"""),"North America")</f>
        <v>North America</v>
      </c>
      <c r="L180" s="18" t="str">
        <f>IFERROR(__xludf.DUMMYFUNCTION("""COMPUTED_VALUE"""),"Level 4- Heavy sexual content, mature audiences only")</f>
        <v>Level 4- Heavy sexual content, mature audiences only</v>
      </c>
      <c r="M180" s="18" t="str">
        <f>IFERROR(__xludf.DUMMYFUNCTION("""COMPUTED_VALUE"""),"Breeding Kink, Double Penetration, Praise Kink")</f>
        <v>Breeding Kink, Double Penetration, Praise Kink</v>
      </c>
      <c r="N180" s="18" t="str">
        <f>IFERROR(__xludf.DUMMYFUNCTION("""COMPUTED_VALUE"""),"Series- can be read as standalones")</f>
        <v>Series- can be read as standalones</v>
      </c>
      <c r="O180" s="18" t="str">
        <f>IFERROR(__xludf.DUMMYFUNCTION("""COMPUTED_VALUE"""),"Harpies of a Feather #1")</f>
        <v>Harpies of a Feather #1</v>
      </c>
      <c r="P180" s="18"/>
      <c r="Q180" s="18"/>
      <c r="R180" s="19" t="str">
        <f>IFERROR(__xludf.DUMMYFUNCTION("""COMPUTED_VALUE"""),"No")</f>
        <v>No</v>
      </c>
      <c r="S180" s="20" t="str">
        <f>IFERROR(__xludf.DUMMYFUNCTION("""COMPUTED_VALUE"""),"https://www.goodreads.com/book/show/55532233-three-of-hearts")</f>
        <v>https://www.goodreads.com/book/show/55532233-three-of-hearts</v>
      </c>
    </row>
    <row r="181">
      <c r="A181" s="16">
        <f>IFERROR(__xludf.DUMMYFUNCTION("""COMPUTED_VALUE"""),44809.114825578705)</f>
        <v>44809.11483</v>
      </c>
      <c r="B181" s="13" t="str">
        <f>IFERROR(__xludf.DUMMYFUNCTION("""COMPUTED_VALUE"""),"Add new entry")</f>
        <v>Add new entry</v>
      </c>
      <c r="C181" s="17" t="str">
        <f>IFERROR(__xludf.DUMMYFUNCTION("""COMPUTED_VALUE"""),"Soul Eater")</f>
        <v>Soul Eater</v>
      </c>
      <c r="D181" s="18" t="str">
        <f>IFERROR(__xludf.DUMMYFUNCTION("""COMPUTED_VALUE"""),"Lily Mayne")</f>
        <v>Lily Mayne</v>
      </c>
      <c r="E181" s="18" t="str">
        <f>IFERROR(__xludf.DUMMYFUNCTION("""COMPUTED_VALUE"""),"M/M")</f>
        <v>M/M</v>
      </c>
      <c r="F181" s="18" t="str">
        <f>IFERROR(__xludf.DUMMYFUNCTION("""COMPUTED_VALUE"""),"LGBTQIA+ &amp; GSM (Gender and Sexual Minorities)")</f>
        <v>LGBTQIA+ &amp; GSM (Gender and Sexual Minorities)</v>
      </c>
      <c r="G181" s="18" t="str">
        <f>IFERROR(__xludf.DUMMYFUNCTION("""COMPUTED_VALUE"""),"A touch starved grumpy monster and the sweetest beta boy!")</f>
        <v>A touch starved grumpy monster and the sweetest beta boy!</v>
      </c>
      <c r="H181" s="18" t="str">
        <f>IFERROR(__xludf.DUMMYFUNCTION("""COMPUTED_VALUE"""),"Single POV")</f>
        <v>Single POV</v>
      </c>
      <c r="I181" s="18" t="str">
        <f>IFERROR(__xludf.DUMMYFUNCTION("""COMPUTED_VALUE"""),"Erotic Romance, Fantasy, Military or Security, Science Fiction &amp; Alien")</f>
        <v>Erotic Romance, Fantasy, Military or Security, Science Fiction &amp; Alien</v>
      </c>
      <c r="J181" s="18" t="str">
        <f>IFERROR(__xludf.DUMMYFUNCTION("""COMPUTED_VALUE"""),"Age Difference, Creatures or Monsters- Dragon/Orc/Fae/etc, Dystopian, Enemies-to-lovers (or dislike-to-love), Grumpy/Sunshine, Hurt/Comfort, Road Trip/Travel, Sweet MC- beta hero/kindhearted heroine/etc, Virgin MC")</f>
        <v>Age Difference, Creatures or Monsters- Dragon/Orc/Fae/etc, Dystopian, Enemies-to-lovers (or dislike-to-love), Grumpy/Sunshine, Hurt/Comfort, Road Trip/Travel, Sweet MC- beta hero/kindhearted heroine/etc, Virgin MC</v>
      </c>
      <c r="K181" s="18" t="str">
        <f>IFERROR(__xludf.DUMMYFUNCTION("""COMPUTED_VALUE"""),"North America")</f>
        <v>North America</v>
      </c>
      <c r="L181" s="18" t="str">
        <f>IFERROR(__xludf.DUMMYFUNCTION("""COMPUTED_VALUE"""),"Level 4- Heavy sexual content, mature audiences only")</f>
        <v>Level 4- Heavy sexual content, mature audiences only</v>
      </c>
      <c r="M181" s="18" t="str">
        <f>IFERROR(__xludf.DUMMYFUNCTION("""COMPUTED_VALUE"""),"Oral sex - fellatio, Weird monster anatomy ")</f>
        <v>Oral sex - fellatio, Weird monster anatomy </v>
      </c>
      <c r="N181" s="18" t="str">
        <f>IFERROR(__xludf.DUMMYFUNCTION("""COMPUTED_VALUE"""),"Series- must be read in order")</f>
        <v>Series- must be read in order</v>
      </c>
      <c r="O181" s="18" t="str">
        <f>IFERROR(__xludf.DUMMYFUNCTION("""COMPUTED_VALUE"""),"Monstrous #1")</f>
        <v>Monstrous #1</v>
      </c>
      <c r="P181" s="18" t="str">
        <f>IFERROR(__xludf.DUMMYFUNCTION("""COMPUTED_VALUE"""),"Swoon, Feel feels")</f>
        <v>Swoon, Feel feels</v>
      </c>
      <c r="Q181" s="18" t="str">
        <f>IFERROR(__xludf.DUMMYFUNCTION("""COMPUTED_VALUE"""),"PTSD, violence, torture, lots of fluids ")</f>
        <v>PTSD, violence, torture, lots of fluids </v>
      </c>
      <c r="R181" s="19" t="str">
        <f>IFERROR(__xludf.DUMMYFUNCTION("""COMPUTED_VALUE"""),"No")</f>
        <v>No</v>
      </c>
      <c r="S181" s="20" t="str">
        <f>IFERROR(__xludf.DUMMYFUNCTION("""COMPUTED_VALUE"""),"https://www.goodreads.com/book/show/58114709")</f>
        <v>https://www.goodreads.com/book/show/58114709</v>
      </c>
    </row>
    <row r="182">
      <c r="A182" s="16">
        <f>IFERROR(__xludf.DUMMYFUNCTION("""COMPUTED_VALUE"""),45200.70664556713)</f>
        <v>45200.70665</v>
      </c>
      <c r="B182" s="13" t="str">
        <f>IFERROR(__xludf.DUMMYFUNCTION("""COMPUTED_VALUE"""),"Add new entry")</f>
        <v>Add new entry</v>
      </c>
      <c r="C182" s="17" t="str">
        <f>IFERROR(__xludf.DUMMYFUNCTION("""COMPUTED_VALUE"""),"Berries and Greed ")</f>
        <v>Berries and Greed </v>
      </c>
      <c r="D182" s="18" t="str">
        <f>IFERROR(__xludf.DUMMYFUNCTION("""COMPUTED_VALUE"""),"Lily Mayne ")</f>
        <v>Lily Mayne </v>
      </c>
      <c r="E182" s="18" t="str">
        <f>IFERROR(__xludf.DUMMYFUNCTION("""COMPUTED_VALUE"""),"M/F")</f>
        <v>M/F</v>
      </c>
      <c r="F182" s="18"/>
      <c r="G182" s="18"/>
      <c r="H182" s="18" t="str">
        <f>IFERROR(__xludf.DUMMYFUNCTION("""COMPUTED_VALUE"""),"Dual POV, First person")</f>
        <v>Dual POV, First person</v>
      </c>
      <c r="I182" s="18" t="str">
        <f>IFERROR(__xludf.DUMMYFUNCTION("""COMPUTED_VALUE"""),"Contemporary")</f>
        <v>Contemporary</v>
      </c>
      <c r="J182" s="18" t="str">
        <f>IFERROR(__xludf.DUMMYFUNCTION("""COMPUTED_VALUE"""),"Creatures or Monsters- Dragon/Orc/Fae/etc, Forced Proximity, Friends-to-lovers, Loner/Isolated, Sweet MC- beta hero/kindhearted heroine/etc")</f>
        <v>Creatures or Monsters- Dragon/Orc/Fae/etc, Forced Proximity, Friends-to-lovers, Loner/Isolated, Sweet MC- beta hero/kindhearted heroine/etc</v>
      </c>
      <c r="K182" s="18"/>
      <c r="L182" s="18" t="str">
        <f>IFERROR(__xludf.DUMMYFUNCTION("""COMPUTED_VALUE"""),"Level 4- Heavy sexual content, mature audiences only")</f>
        <v>Level 4- Heavy sexual content, mature audiences only</v>
      </c>
      <c r="M182" s="18" t="str">
        <f>IFERROR(__xludf.DUMMYFUNCTION("""COMPUTED_VALUE"""),"Anal sex, Bondage &amp; Restraints, Edging/Orgasm Denial, Femdom, Oral sex - cunnilingus, Oral sex - fellatio, Pegging, Praise Kink, Sex Toy Play")</f>
        <v>Anal sex, Bondage &amp; Restraints, Edging/Orgasm Denial, Femdom, Oral sex - cunnilingus, Oral sex - fellatio, Pegging, Praise Kink, Sex Toy Play</v>
      </c>
      <c r="N182" s="18" t="str">
        <f>IFERROR(__xludf.DUMMYFUNCTION("""COMPUTED_VALUE"""),"Series- can be read as standalones")</f>
        <v>Series- can be read as standalones</v>
      </c>
      <c r="O182" s="18" t="str">
        <f>IFERROR(__xludf.DUMMYFUNCTION("""COMPUTED_VALUE"""),"Deep Earth Dating ")</f>
        <v>Deep Earth Dating </v>
      </c>
      <c r="P182" s="18"/>
      <c r="Q182" s="18"/>
      <c r="R182" s="19" t="str">
        <f>IFERROR(__xludf.DUMMYFUNCTION("""COMPUTED_VALUE"""),"No")</f>
        <v>No</v>
      </c>
      <c r="S182" s="20" t="str">
        <f>IFERROR(__xludf.DUMMYFUNCTION("""COMPUTED_VALUE"""),"https://www.goodreads.com/book/show/175404367-berries-and-greed")</f>
        <v>https://www.goodreads.com/book/show/175404367-berries-and-greed</v>
      </c>
    </row>
    <row r="183">
      <c r="A183" s="16">
        <f>IFERROR(__xludf.DUMMYFUNCTION("""COMPUTED_VALUE"""),44892.89872866898)</f>
        <v>44892.89873</v>
      </c>
      <c r="B183" s="13" t="str">
        <f>IFERROR(__xludf.DUMMYFUNCTION("""COMPUTED_VALUE"""),"Add new entry")</f>
        <v>Add new entry</v>
      </c>
      <c r="C183" s="17" t="str">
        <f>IFERROR(__xludf.DUMMYFUNCTION("""COMPUTED_VALUE"""),"Oz")</f>
        <v>Oz</v>
      </c>
      <c r="D183" s="18" t="str">
        <f>IFERROR(__xludf.DUMMYFUNCTION("""COMPUTED_VALUE"""),"Lily Morton")</f>
        <v>Lily Morton</v>
      </c>
      <c r="E183" s="18" t="str">
        <f>IFERROR(__xludf.DUMMYFUNCTION("""COMPUTED_VALUE"""),"M/M")</f>
        <v>M/M</v>
      </c>
      <c r="F183" s="18" t="str">
        <f>IFERROR(__xludf.DUMMYFUNCTION("""COMPUTED_VALUE"""),"LGBTQIA+ &amp; GSM (Gender and Sexual Minorities)")</f>
        <v>LGBTQIA+ &amp; GSM (Gender and Sexual Minorities)</v>
      </c>
      <c r="G183" s="18" t="str">
        <f>IFERROR(__xludf.DUMMYFUNCTION("""COMPUTED_VALUE"""),"Sunshine/sunshine with a very dry sarcastic humor. MC1 is a small town vet but also part of the aristocracy. MC2 is hired to help manage his estate. ")</f>
        <v>Sunshine/sunshine with a very dry sarcastic humor. MC1 is a small town vet but also part of the aristocracy. MC2 is hired to help manage his estate. </v>
      </c>
      <c r="H183" s="18" t="str">
        <f>IFERROR(__xludf.DUMMYFUNCTION("""COMPUTED_VALUE"""),"Dual POV, First person")</f>
        <v>Dual POV, First person</v>
      </c>
      <c r="I183" s="18" t="str">
        <f>IFERROR(__xludf.DUMMYFUNCTION("""COMPUTED_VALUE"""),"Contemporary, Romantic Comedy")</f>
        <v>Contemporary, Romantic Comedy</v>
      </c>
      <c r="J183" s="18" t="str">
        <f>IFERROR(__xludf.DUMMYFUNCTION("""COMPUTED_VALUE"""),"Age Difference, Billionaires/Millionaires/Gazillionaires etc, Class Differences, Coworkers or Colleagues, Forced Proximity, Friends-to-lovers, Small Town")</f>
        <v>Age Difference, Billionaires/Millionaires/Gazillionaires etc, Class Differences, Coworkers or Colleagues, Forced Proximity, Friends-to-lovers, Small Town</v>
      </c>
      <c r="K183" s="18" t="str">
        <f>IFERROR(__xludf.DUMMYFUNCTION("""COMPUTED_VALUE"""),"Europe")</f>
        <v>Europe</v>
      </c>
      <c r="L183" s="18" t="str">
        <f>IFERROR(__xludf.DUMMYFUNCTION("""COMPUTED_VALUE"""),"Level 4- Heavy sexual content, mature audiences only")</f>
        <v>Level 4- Heavy sexual content, mature audiences only</v>
      </c>
      <c r="M183" s="18" t="str">
        <f>IFERROR(__xludf.DUMMYFUNCTION("""COMPUTED_VALUE"""),"Anal sex, Cum Fetish, Oral sex - fellatio")</f>
        <v>Anal sex, Cum Fetish, Oral sex - fellatio</v>
      </c>
      <c r="N183" s="18" t="str">
        <f>IFERROR(__xludf.DUMMYFUNCTION("""COMPUTED_VALUE"""),"Series- can be read as standalones")</f>
        <v>Series- can be read as standalones</v>
      </c>
      <c r="O183" s="18" t="str">
        <f>IFERROR(__xludf.DUMMYFUNCTION("""COMPUTED_VALUE"""),"Finding Home 1")</f>
        <v>Finding Home 1</v>
      </c>
      <c r="P183" s="18" t="str">
        <f>IFERROR(__xludf.DUMMYFUNCTION("""COMPUTED_VALUE"""),"Swoon, Laugh")</f>
        <v>Swoon, Laugh</v>
      </c>
      <c r="Q183" s="18"/>
      <c r="R183" s="19" t="str">
        <f>IFERROR(__xludf.DUMMYFUNCTION("""COMPUTED_VALUE"""),"No")</f>
        <v>No</v>
      </c>
      <c r="S183" s="20" t="str">
        <f>IFERROR(__xludf.DUMMYFUNCTION("""COMPUTED_VALUE"""),"https://www.goodreads.com/book/show/42840413")</f>
        <v>https://www.goodreads.com/book/show/42840413</v>
      </c>
    </row>
    <row r="184">
      <c r="A184" s="16">
        <f>IFERROR(__xludf.DUMMYFUNCTION("""COMPUTED_VALUE"""),44813.476138275466)</f>
        <v>44813.47614</v>
      </c>
      <c r="B184" s="13" t="str">
        <f>IFERROR(__xludf.DUMMYFUNCTION("""COMPUTED_VALUE"""),"Add new entry")</f>
        <v>Add new entry</v>
      </c>
      <c r="C184" s="17" t="str">
        <f>IFERROR(__xludf.DUMMYFUNCTION("""COMPUTED_VALUE"""),"The Assassin and the Libertine")</f>
        <v>The Assassin and the Libertine</v>
      </c>
      <c r="D184" s="18" t="str">
        <f>IFERROR(__xludf.DUMMYFUNCTION("""COMPUTED_VALUE"""),"Lily Riley")</f>
        <v>Lily Riley</v>
      </c>
      <c r="E184" s="18" t="str">
        <f>IFERROR(__xludf.DUMMYFUNCTION("""COMPUTED_VALUE"""),"M/F")</f>
        <v>M/F</v>
      </c>
      <c r="F184" s="18"/>
      <c r="G184" s="18"/>
      <c r="H184" s="18"/>
      <c r="I184" s="18" t="str">
        <f>IFERROR(__xludf.DUMMYFUNCTION("""COMPUTED_VALUE"""),"Historical Romance, Paranormal, Romantic Suspense")</f>
        <v>Historical Romance, Paranormal, Romantic Suspense</v>
      </c>
      <c r="J184" s="18" t="str">
        <f>IFERROR(__xludf.DUMMYFUNCTION("""COMPUTED_VALUE"""),"Angel &amp; Demon etc, Enemies-to-lovers (or dislike-to-love), Hurt/Comfort, Rake/Player, Spy/Intrigue/Mystery, Vampire, Undead etc")</f>
        <v>Angel &amp; Demon etc, Enemies-to-lovers (or dislike-to-love), Hurt/Comfort, Rake/Player, Spy/Intrigue/Mystery, Vampire, Undead etc</v>
      </c>
      <c r="K184" s="18" t="str">
        <f>IFERROR(__xludf.DUMMYFUNCTION("""COMPUTED_VALUE"""),"Europe")</f>
        <v>Europe</v>
      </c>
      <c r="L184" s="18" t="str">
        <f>IFERROR(__xludf.DUMMYFUNCTION("""COMPUTED_VALUE"""),"Level 4- Heavy sexual content, mature audiences only")</f>
        <v>Level 4- Heavy sexual content, mature audiences only</v>
      </c>
      <c r="M184" s="18"/>
      <c r="N184" s="18" t="str">
        <f>IFERROR(__xludf.DUMMYFUNCTION("""COMPUTED_VALUE"""),"Series- can be read as standalones")</f>
        <v>Series- can be read as standalones</v>
      </c>
      <c r="O184" s="18" t="str">
        <f>IFERROR(__xludf.DUMMYFUNCTION("""COMPUTED_VALUE"""),"Les Dames Dangereuses book #1")</f>
        <v>Les Dames Dangereuses book #1</v>
      </c>
      <c r="P184" s="18" t="str">
        <f>IFERROR(__xludf.DUMMYFUNCTION("""COMPUTED_VALUE"""),"Laugh, Scared, Transported")</f>
        <v>Laugh, Scared, Transported</v>
      </c>
      <c r="Q184" s="18" t="str">
        <f>IFERROR(__xludf.DUMMYFUNCTION("""COMPUTED_VALUE"""),"Abuse")</f>
        <v>Abuse</v>
      </c>
      <c r="R184" s="19" t="str">
        <f>IFERROR(__xludf.DUMMYFUNCTION("""COMPUTED_VALUE"""),"No")</f>
        <v>No</v>
      </c>
      <c r="S184" s="20" t="str">
        <f>IFERROR(__xludf.DUMMYFUNCTION("""COMPUTED_VALUE"""),"https://www.goodreads.com/book/show/58722474-the-assassin-and-the-libertine?ac=1&amp;from_search=true&amp;qid=HPHLwMQmvL&amp;rank=1")</f>
        <v>https://www.goodreads.com/book/show/58722474-the-assassin-and-the-libertine?ac=1&amp;from_search=true&amp;qid=HPHLwMQmvL&amp;rank=1</v>
      </c>
    </row>
    <row r="185">
      <c r="A185" s="16">
        <f>IFERROR(__xludf.DUMMYFUNCTION("""COMPUTED_VALUE"""),44813.481542141206)</f>
        <v>44813.48154</v>
      </c>
      <c r="B185" s="13" t="str">
        <f>IFERROR(__xludf.DUMMYFUNCTION("""COMPUTED_VALUE"""),"Add new entry")</f>
        <v>Add new entry</v>
      </c>
      <c r="C185" s="17" t="str">
        <f>IFERROR(__xludf.DUMMYFUNCTION("""COMPUTED_VALUE"""),"The Agent and the Outlaw")</f>
        <v>The Agent and the Outlaw</v>
      </c>
      <c r="D185" s="18" t="str">
        <f>IFERROR(__xludf.DUMMYFUNCTION("""COMPUTED_VALUE"""),"Lily Riley")</f>
        <v>Lily Riley</v>
      </c>
      <c r="E185" s="18" t="str">
        <f>IFERROR(__xludf.DUMMYFUNCTION("""COMPUTED_VALUE"""),"M/F")</f>
        <v>M/F</v>
      </c>
      <c r="F185" s="18"/>
      <c r="G185" s="18"/>
      <c r="H185" s="18"/>
      <c r="I185" s="18" t="str">
        <f>IFERROR(__xludf.DUMMYFUNCTION("""COMPUTED_VALUE"""),"Historical Romance, Paranormal")</f>
        <v>Historical Romance, Paranormal</v>
      </c>
      <c r="J185" s="18" t="str">
        <f>IFERROR(__xludf.DUMMYFUNCTION("""COMPUTED_VALUE"""),"Enemies-to-lovers (or dislike-to-love), Forced Proximity, Grumpy/Sunshine, Hurt/Comfort, Road Trip/Travel, Shifter/Wereperson, Vampire, Undead etc")</f>
        <v>Enemies-to-lovers (or dislike-to-love), Forced Proximity, Grumpy/Sunshine, Hurt/Comfort, Road Trip/Travel, Shifter/Wereperson, Vampire, Undead etc</v>
      </c>
      <c r="K185" s="18" t="str">
        <f>IFERROR(__xludf.DUMMYFUNCTION("""COMPUTED_VALUE"""),"Europe")</f>
        <v>Europe</v>
      </c>
      <c r="L185" s="18" t="str">
        <f>IFERROR(__xludf.DUMMYFUNCTION("""COMPUTED_VALUE"""),"Level 4- Heavy sexual content, mature audiences only")</f>
        <v>Level 4- Heavy sexual content, mature audiences only</v>
      </c>
      <c r="M185" s="18"/>
      <c r="N185" s="18" t="str">
        <f>IFERROR(__xludf.DUMMYFUNCTION("""COMPUTED_VALUE"""),"Series- can be read as standalones")</f>
        <v>Series- can be read as standalones</v>
      </c>
      <c r="O185" s="18" t="str">
        <f>IFERROR(__xludf.DUMMYFUNCTION("""COMPUTED_VALUE"""),"Les Dames Dangereuses book #2")</f>
        <v>Les Dames Dangereuses book #2</v>
      </c>
      <c r="P185" s="18" t="str">
        <f>IFERROR(__xludf.DUMMYFUNCTION("""COMPUTED_VALUE"""),"Laugh, Transported")</f>
        <v>Laugh, Transported</v>
      </c>
      <c r="Q185" s="18" t="str">
        <f>IFERROR(__xludf.DUMMYFUNCTION("""COMPUTED_VALUE"""),"abuse, suicide")</f>
        <v>abuse, suicide</v>
      </c>
      <c r="R185" s="19" t="str">
        <f>IFERROR(__xludf.DUMMYFUNCTION("""COMPUTED_VALUE"""),"No")</f>
        <v>No</v>
      </c>
      <c r="S185" s="20" t="str">
        <f>IFERROR(__xludf.DUMMYFUNCTION("""COMPUTED_VALUE"""),"https://www.goodreads.com/book/show/61068802-the-agent-and-the-outlaw?ac=1&amp;from_search=true&amp;qid=hS6gPI0U4p&amp;rank=1")</f>
        <v>https://www.goodreads.com/book/show/61068802-the-agent-and-the-outlaw?ac=1&amp;from_search=true&amp;qid=hS6gPI0U4p&amp;rank=1</v>
      </c>
    </row>
    <row r="186">
      <c r="A186" s="16">
        <f>IFERROR(__xludf.DUMMYFUNCTION("""COMPUTED_VALUE"""),44780.93387890047)</f>
        <v>44780.93388</v>
      </c>
      <c r="B186" s="13" t="str">
        <f>IFERROR(__xludf.DUMMYFUNCTION("""COMPUTED_VALUE"""),"Add new entry")</f>
        <v>Add new entry</v>
      </c>
      <c r="C186" s="17" t="str">
        <f>IFERROR(__xludf.DUMMYFUNCTION("""COMPUTED_VALUE"""),"Sinister Magic")</f>
        <v>Sinister Magic</v>
      </c>
      <c r="D186" s="18" t="str">
        <f>IFERROR(__xludf.DUMMYFUNCTION("""COMPUTED_VALUE"""),"Lindsay Buroker")</f>
        <v>Lindsay Buroker</v>
      </c>
      <c r="E186" s="18" t="str">
        <f>IFERROR(__xludf.DUMMYFUNCTION("""COMPUTED_VALUE"""),"M/F")</f>
        <v>M/F</v>
      </c>
      <c r="F186" s="18"/>
      <c r="G186" s="18"/>
      <c r="H186" s="18"/>
      <c r="I186" s="18" t="str">
        <f>IFERROR(__xludf.DUMMYFUNCTION("""COMPUTED_VALUE"""),"Contemporary, Fantasy &amp; Gothic, Paranormal")</f>
        <v>Contemporary, Fantasy &amp; Gothic, Paranormal</v>
      </c>
      <c r="J186" s="18" t="str">
        <f>IFERROR(__xludf.DUMMYFUNCTION("""COMPUTED_VALUE"""),"Creatures or Monsters- Dragon/Orc/Fae/etc, Enemies-to-lovers (or dislike-to-love), Slow Burn")</f>
        <v>Creatures or Monsters- Dragon/Orc/Fae/etc, Enemies-to-lovers (or dislike-to-love), Slow Burn</v>
      </c>
      <c r="K186" s="18"/>
      <c r="L186" s="18" t="str">
        <f>IFERROR(__xludf.DUMMYFUNCTION("""COMPUTED_VALUE"""),"Level 2- Kisses and foreplay, everything else closed door")</f>
        <v>Level 2- Kisses and foreplay, everything else closed door</v>
      </c>
      <c r="M186" s="18"/>
      <c r="N186" s="18"/>
      <c r="O186" s="18" t="str">
        <f>IFERROR(__xludf.DUMMYFUNCTION("""COMPUTED_VALUE"""),"Death Before Dragons #1")</f>
        <v>Death Before Dragons #1</v>
      </c>
      <c r="P186" s="18" t="str">
        <f>IFERROR(__xludf.DUMMYFUNCTION("""COMPUTED_VALUE"""),"Swoon, Laugh, Feel feels, Dream, Transported")</f>
        <v>Swoon, Laugh, Feel feels, Dream, Transported</v>
      </c>
      <c r="Q186" s="18"/>
      <c r="R186" s="19" t="str">
        <f>IFERROR(__xludf.DUMMYFUNCTION("""COMPUTED_VALUE"""),"No")</f>
        <v>No</v>
      </c>
      <c r="S186" s="20" t="str">
        <f>IFERROR(__xludf.DUMMYFUNCTION("""COMPUTED_VALUE"""),"https://www.goodreads.com/book/show/51474324-sinister-magic")</f>
        <v>https://www.goodreads.com/book/show/51474324-sinister-magic</v>
      </c>
    </row>
    <row r="187">
      <c r="A187" s="16">
        <f>IFERROR(__xludf.DUMMYFUNCTION("""COMPUTED_VALUE"""),44780.95563231481)</f>
        <v>44780.95563</v>
      </c>
      <c r="B187" s="13" t="str">
        <f>IFERROR(__xludf.DUMMYFUNCTION("""COMPUTED_VALUE"""),"Add new entry")</f>
        <v>Add new entry</v>
      </c>
      <c r="C187" s="17" t="str">
        <f>IFERROR(__xludf.DUMMYFUNCTION("""COMPUTED_VALUE"""),"The RIchmond Thief")</f>
        <v>The RIchmond Thief</v>
      </c>
      <c r="D187" s="18" t="str">
        <f>IFERROR(__xludf.DUMMYFUNCTION("""COMPUTED_VALUE"""),"Lisa Boero")</f>
        <v>Lisa Boero</v>
      </c>
      <c r="E187" s="18" t="str">
        <f>IFERROR(__xludf.DUMMYFUNCTION("""COMPUTED_VALUE"""),"M/F")</f>
        <v>M/F</v>
      </c>
      <c r="F187" s="18"/>
      <c r="G187" s="18"/>
      <c r="H187" s="18"/>
      <c r="I187" s="18" t="str">
        <f>IFERROR(__xludf.DUMMYFUNCTION("""COMPUTED_VALUE"""),"Historical Romance, Romantic Suspense")</f>
        <v>Historical Romance, Romantic Suspense</v>
      </c>
      <c r="J187" s="18" t="str">
        <f>IFERROR(__xludf.DUMMYFUNCTION("""COMPUTED_VALUE"""),"Regency, Spy/Intrigue/Mystery")</f>
        <v>Regency, Spy/Intrigue/Mystery</v>
      </c>
      <c r="K187" s="18"/>
      <c r="L187" s="18"/>
      <c r="M187" s="18"/>
      <c r="N187" s="18"/>
      <c r="O187" s="18"/>
      <c r="P187" s="18"/>
      <c r="Q187" s="18"/>
      <c r="R187" s="19" t="str">
        <f>IFERROR(__xludf.DUMMYFUNCTION("""COMPUTED_VALUE"""),"No")</f>
        <v>No</v>
      </c>
      <c r="S187" s="20" t="str">
        <f>IFERROR(__xludf.DUMMYFUNCTION("""COMPUTED_VALUE"""),"https://www.goodreads.com/book/show/36228345-the-richmond-thief")</f>
        <v>https://www.goodreads.com/book/show/36228345-the-richmond-thief</v>
      </c>
    </row>
    <row r="188">
      <c r="A188" s="16">
        <f>IFERROR(__xludf.DUMMYFUNCTION("""COMPUTED_VALUE"""),44859.88708627315)</f>
        <v>44859.88709</v>
      </c>
      <c r="B188" s="13" t="str">
        <f>IFERROR(__xludf.DUMMYFUNCTION("""COMPUTED_VALUE"""),"Add new entry")</f>
        <v>Add new entry</v>
      </c>
      <c r="C188" s="17" t="str">
        <f>IFERROR(__xludf.DUMMYFUNCTION("""COMPUTED_VALUE"""),"Mine Till Midnight")</f>
        <v>Mine Till Midnight</v>
      </c>
      <c r="D188" s="18" t="str">
        <f>IFERROR(__xludf.DUMMYFUNCTION("""COMPUTED_VALUE"""),"Lisa Kleypas")</f>
        <v>Lisa Kleypas</v>
      </c>
      <c r="E188" s="18" t="str">
        <f>IFERROR(__xludf.DUMMYFUNCTION("""COMPUTED_VALUE"""),"M/F")</f>
        <v>M/F</v>
      </c>
      <c r="F188" s="18" t="str">
        <f>IFERROR(__xludf.DUMMYFUNCTION("""COMPUTED_VALUE"""),"Roma MMC")</f>
        <v>Roma MMC</v>
      </c>
      <c r="G188" s="18"/>
      <c r="H188" s="18"/>
      <c r="I188" s="18" t="str">
        <f>IFERROR(__xludf.DUMMYFUNCTION("""COMPUTED_VALUE"""),"Historical Romance")</f>
        <v>Historical Romance</v>
      </c>
      <c r="J188" s="18" t="str">
        <f>IFERROR(__xludf.DUMMYFUNCTION("""COMPUTED_VALUE"""),"Angst, Class Differences, Tattoos &amp; Piercings, Victorian")</f>
        <v>Angst, Class Differences, Tattoos &amp; Piercings, Victorian</v>
      </c>
      <c r="K188" s="18" t="str">
        <f>IFERROR(__xludf.DUMMYFUNCTION("""COMPUTED_VALUE"""),"Europe")</f>
        <v>Europe</v>
      </c>
      <c r="L188" s="18" t="str">
        <f>IFERROR(__xludf.DUMMYFUNCTION("""COMPUTED_VALUE"""),"Level 4- Heavy sexual content, mature audiences only")</f>
        <v>Level 4- Heavy sexual content, mature audiences only</v>
      </c>
      <c r="M188" s="18"/>
      <c r="N188" s="18" t="str">
        <f>IFERROR(__xludf.DUMMYFUNCTION("""COMPUTED_VALUE"""),"Series- can be read as standalones")</f>
        <v>Series- can be read as standalones</v>
      </c>
      <c r="O188" s="18" t="str">
        <f>IFERROR(__xludf.DUMMYFUNCTION("""COMPUTED_VALUE"""),"Hathaways #1")</f>
        <v>Hathaways #1</v>
      </c>
      <c r="P188" s="18" t="str">
        <f>IFERROR(__xludf.DUMMYFUNCTION("""COMPUTED_VALUE"""),"Swoon, Laugh, Feel feels, Transported")</f>
        <v>Swoon, Laugh, Feel feels, Transported</v>
      </c>
      <c r="Q188" s="18" t="str">
        <f>IFERROR(__xludf.DUMMYFUNCTION("""COMPUTED_VALUE"""),"Suicidal thoughts (side character), alcoholism, racism toward MMC from others")</f>
        <v>Suicidal thoughts (side character), alcoholism, racism toward MMC from others</v>
      </c>
      <c r="R188" s="19" t="str">
        <f>IFERROR(__xludf.DUMMYFUNCTION("""COMPUTED_VALUE"""),"No")</f>
        <v>No</v>
      </c>
      <c r="S188" s="20" t="str">
        <f>IFERROR(__xludf.DUMMYFUNCTION("""COMPUTED_VALUE"""),"https://www.goodreads.com/book/show/693016.Mine_Till_Midnight")</f>
        <v>https://www.goodreads.com/book/show/693016.Mine_Till_Midnight</v>
      </c>
    </row>
    <row r="189">
      <c r="A189" s="16">
        <f>IFERROR(__xludf.DUMMYFUNCTION("""COMPUTED_VALUE"""),45524.132623784724)</f>
        <v>45524.13262</v>
      </c>
      <c r="B189" s="13" t="str">
        <f>IFERROR(__xludf.DUMMYFUNCTION("""COMPUTED_VALUE"""),"Add new entry")</f>
        <v>Add new entry</v>
      </c>
      <c r="C189" s="17" t="str">
        <f>IFERROR(__xludf.DUMMYFUNCTION("""COMPUTED_VALUE"""),"Court of Blood and Bindings")</f>
        <v>Court of Blood and Bindings</v>
      </c>
      <c r="D189" s="18" t="str">
        <f>IFERROR(__xludf.DUMMYFUNCTION("""COMPUTED_VALUE"""),"Lisette Marshall")</f>
        <v>Lisette Marshall</v>
      </c>
      <c r="E189" s="18" t="str">
        <f>IFERROR(__xludf.DUMMYFUNCTION("""COMPUTED_VALUE"""),"M/F")</f>
        <v>M/F</v>
      </c>
      <c r="F189" s="18"/>
      <c r="G189" s="18" t="str">
        <f>IFERROR(__xludf.DUMMYFUNCTION("""COMPUTED_VALUE"""),"First book of the Fae Isles series, an enemies to lovers fantasy romance featuring a strong-willed heroine and a broody, morally grey hero.")</f>
        <v>First book of the Fae Isles series, an enemies to lovers fantasy romance featuring a strong-willed heroine and a broody, morally grey hero.</v>
      </c>
      <c r="H189" s="18" t="str">
        <f>IFERROR(__xludf.DUMMYFUNCTION("""COMPUTED_VALUE"""),"Single POV")</f>
        <v>Single POV</v>
      </c>
      <c r="I189" s="18" t="str">
        <f>IFERROR(__xludf.DUMMYFUNCTION("""COMPUTED_VALUE"""),"Adventure, Fantasy, New Adult (NA), Paranormal")</f>
        <v>Adventure, Fantasy, New Adult (NA), Paranormal</v>
      </c>
      <c r="J189" s="18" t="str">
        <f>IFERROR(__xludf.DUMMYFUNCTION("""COMPUTED_VALUE"""),"Creatures or Monsters- Dragon/Orc/Fae/etc, Enemies-to-lovers (or dislike-to-love), Fake Relationship, Forced Proximity, Only One Bed, Royalty")</f>
        <v>Creatures or Monsters- Dragon/Orc/Fae/etc, Enemies-to-lovers (or dislike-to-love), Fake Relationship, Forced Proximity, Only One Bed, Royalty</v>
      </c>
      <c r="K189" s="18"/>
      <c r="L189" s="18" t="str">
        <f>IFERROR(__xludf.DUMMYFUNCTION("""COMPUTED_VALUE"""),"Level 3- Sexual content in a few chapters")</f>
        <v>Level 3- Sexual content in a few chapters</v>
      </c>
      <c r="M189" s="18" t="str">
        <f>IFERROR(__xludf.DUMMYFUNCTION("""COMPUTED_VALUE"""),"PIV sex (penis in vagina)")</f>
        <v>PIV sex (penis in vagina)</v>
      </c>
      <c r="N189" s="18" t="str">
        <f>IFERROR(__xludf.DUMMYFUNCTION("""COMPUTED_VALUE"""),"Series- must be read in order")</f>
        <v>Series- must be read in order</v>
      </c>
      <c r="O189" s="18" t="str">
        <f>IFERROR(__xludf.DUMMYFUNCTION("""COMPUTED_VALUE"""),"Fae Isles #1")</f>
        <v>Fae Isles #1</v>
      </c>
      <c r="P189" s="18" t="str">
        <f>IFERROR(__xludf.DUMMYFUNCTION("""COMPUTED_VALUE"""),"Tingle, Feel feels, Smolder, Transported")</f>
        <v>Tingle, Feel feels, Smolder, Transported</v>
      </c>
      <c r="Q189" s="18" t="str">
        <f>IFERROR(__xludf.DUMMYFUNCTION("""COMPUTED_VALUE"""),"Some mentions of war, death, and violence, including the death of children.")</f>
        <v>Some mentions of war, death, and violence, including the death of children.</v>
      </c>
      <c r="R189" s="19" t="str">
        <f>IFERROR(__xludf.DUMMYFUNCTION("""COMPUTED_VALUE"""),"No")</f>
        <v>No</v>
      </c>
      <c r="S189" s="20" t="str">
        <f>IFERROR(__xludf.DUMMYFUNCTION("""COMPUTED_VALUE"""),"https://www.goodreads.com/book/show/61213995-court-of-blood-and-bindings")</f>
        <v>https://www.goodreads.com/book/show/61213995-court-of-blood-and-bindings</v>
      </c>
    </row>
    <row r="190">
      <c r="A190" s="16">
        <f>IFERROR(__xludf.DUMMYFUNCTION("""COMPUTED_VALUE"""),45312.65985776621)</f>
        <v>45312.65986</v>
      </c>
      <c r="B190" s="13" t="str">
        <f>IFERROR(__xludf.DUMMYFUNCTION("""COMPUTED_VALUE"""),"Add new entry")</f>
        <v>Add new entry</v>
      </c>
      <c r="C190" s="17" t="str">
        <f>IFERROR(__xludf.DUMMYFUNCTION("""COMPUTED_VALUE"""),"Eden")</f>
        <v>Eden</v>
      </c>
      <c r="D190" s="18" t="str">
        <f>IFERROR(__xludf.DUMMYFUNCTION("""COMPUTED_VALUE"""),"Louise Wise")</f>
        <v>Louise Wise</v>
      </c>
      <c r="E190" s="18" t="str">
        <f>IFERROR(__xludf.DUMMYFUNCTION("""COMPUTED_VALUE"""),"M/F")</f>
        <v>M/F</v>
      </c>
      <c r="F190" s="18"/>
      <c r="G190" s="18" t="str">
        <f>IFERROR(__xludf.DUMMYFUNCTION("""COMPUTED_VALUE"""),"Jenny (human) shows how modern living has affected her living in prehistoric times after she's abandoned on an alien planet. Lone survivor of his crash ship, Fly (alien) sees her as a sexual diversion but knows he'll gain more if he earns her trust. A tru"&amp;"e love story. A little heat.")</f>
        <v>Jenny (human) shows how modern living has affected her living in prehistoric times after she's abandoned on an alien planet. Lone survivor of his crash ship, Fly (alien) sees her as a sexual diversion but knows he'll gain more if he earns her trust. A true love story. A little heat.</v>
      </c>
      <c r="H190" s="18" t="str">
        <f>IFERROR(__xludf.DUMMYFUNCTION("""COMPUTED_VALUE"""),"Dual POV, Third person")</f>
        <v>Dual POV, Third person</v>
      </c>
      <c r="I190" s="18" t="str">
        <f>IFERROR(__xludf.DUMMYFUNCTION("""COMPUTED_VALUE"""),"Adventure, Contemporary, Omegaverse, Science Fiction &amp; Alien, Young Adult (YA)")</f>
        <v>Adventure, Contemporary, Omegaverse, Science Fiction &amp; Alien, Young Adult (YA)</v>
      </c>
      <c r="J190" s="18" t="str">
        <f>IFERROR(__xludf.DUMMYFUNCTION("""COMPUTED_VALUE"""),"Class Differences, Creatures or Monsters- Dragon/Orc/Fae/etc, Enemies-to-lovers (or dislike-to-love), Fated Mates, Friends-to-lovers, Wounded Hero/Heroine &amp; War Heroes/Heroines")</f>
        <v>Class Differences, Creatures or Monsters- Dragon/Orc/Fae/etc, Enemies-to-lovers (or dislike-to-love), Fated Mates, Friends-to-lovers, Wounded Hero/Heroine &amp; War Heroes/Heroines</v>
      </c>
      <c r="K190" s="18" t="str">
        <f>IFERROR(__xludf.DUMMYFUNCTION("""COMPUTED_VALUE"""),"outside earth")</f>
        <v>outside earth</v>
      </c>
      <c r="L190" s="18" t="str">
        <f>IFERROR(__xludf.DUMMYFUNCTION("""COMPUTED_VALUE"""),"Level 3- Sexual content in a few chapters")</f>
        <v>Level 3- Sexual content in a few chapters</v>
      </c>
      <c r="M190" s="18"/>
      <c r="N190" s="18" t="str">
        <f>IFERROR(__xludf.DUMMYFUNCTION("""COMPUTED_VALUE"""),"Series- can be read as standalones")</f>
        <v>Series- can be read as standalones</v>
      </c>
      <c r="O190" s="18" t="str">
        <f>IFERROR(__xludf.DUMMYFUNCTION("""COMPUTED_VALUE"""),"Hunted")</f>
        <v>Hunted</v>
      </c>
      <c r="P190" s="18" t="str">
        <f>IFERROR(__xludf.DUMMYFUNCTION("""COMPUTED_VALUE"""),"Swoon, Tingle, Laugh, Cry, Rage, Scared, Transported")</f>
        <v>Swoon, Tingle, Laugh, Cry, Rage, Scared, Transported</v>
      </c>
      <c r="Q190" s="18"/>
      <c r="R190" s="19" t="str">
        <f>IFERROR(__xludf.DUMMYFUNCTION("""COMPUTED_VALUE"""),"Yes")</f>
        <v>Yes</v>
      </c>
      <c r="S190" s="20" t="str">
        <f>IFERROR(__xludf.DUMMYFUNCTION("""COMPUTED_VALUE"""),"https://www.amazon.com/gp/product/B0052DN2YG")</f>
        <v>https://www.amazon.com/gp/product/B0052DN2YG</v>
      </c>
    </row>
    <row r="191">
      <c r="A191" s="16">
        <f>IFERROR(__xludf.DUMMYFUNCTION("""COMPUTED_VALUE"""),44780.96614517361)</f>
        <v>44780.96615</v>
      </c>
      <c r="B191" s="13" t="str">
        <f>IFERROR(__xludf.DUMMYFUNCTION("""COMPUTED_VALUE"""),"Add new entry")</f>
        <v>Add new entry</v>
      </c>
      <c r="C191" s="17" t="str">
        <f>IFERROR(__xludf.DUMMYFUNCTION("""COMPUTED_VALUE"""),"Virgin Flyer")</f>
        <v>Virgin Flyer</v>
      </c>
      <c r="D191" s="18" t="str">
        <f>IFERROR(__xludf.DUMMYFUNCTION("""COMPUTED_VALUE"""),"Lucy Lennox")</f>
        <v>Lucy Lennox</v>
      </c>
      <c r="E191" s="18" t="str">
        <f>IFERROR(__xludf.DUMMYFUNCTION("""COMPUTED_VALUE"""),"M/M")</f>
        <v>M/M</v>
      </c>
      <c r="F191" s="18" t="str">
        <f>IFERROR(__xludf.DUMMYFUNCTION("""COMPUTED_VALUE"""),"LGBTQIA+ &amp; GSM (Gender and Sexual Minorities)")</f>
        <v>LGBTQIA+ &amp; GSM (Gender and Sexual Minorities)</v>
      </c>
      <c r="G191" s="18"/>
      <c r="H191" s="18" t="str">
        <f>IFERROR(__xludf.DUMMYFUNCTION("""COMPUTED_VALUE"""),"Dual POV, Third person")</f>
        <v>Dual POV, Third person</v>
      </c>
      <c r="I191" s="18" t="str">
        <f>IFERROR(__xludf.DUMMYFUNCTION("""COMPUTED_VALUE"""),"Contemporary")</f>
        <v>Contemporary</v>
      </c>
      <c r="J191" s="18" t="str">
        <f>IFERROR(__xludf.DUMMYFUNCTION("""COMPUTED_VALUE"""),"Age Difference, Insta-lust/Insta-love/Insta-coffee, Sweet MC- beta hero/kindhearted heroine/etc")</f>
        <v>Age Difference, Insta-lust/Insta-love/Insta-coffee, Sweet MC- beta hero/kindhearted heroine/etc</v>
      </c>
      <c r="K191" s="18"/>
      <c r="L191" s="18" t="str">
        <f>IFERROR(__xludf.DUMMYFUNCTION("""COMPUTED_VALUE"""),"Level 4- Heavy sexual content, mature audiences only")</f>
        <v>Level 4- Heavy sexual content, mature audiences only</v>
      </c>
      <c r="M191" s="18"/>
      <c r="N191" s="18" t="str">
        <f>IFERROR(__xludf.DUMMYFUNCTION("""COMPUTED_VALUE"""),"Standalone (not part of a series)")</f>
        <v>Standalone (not part of a series)</v>
      </c>
      <c r="O191" s="18"/>
      <c r="P191" s="18" t="str">
        <f>IFERROR(__xludf.DUMMYFUNCTION("""COMPUTED_VALUE"""),"Tingle, Laugh, Dream")</f>
        <v>Tingle, Laugh, Dream</v>
      </c>
      <c r="Q191" s="18"/>
      <c r="R191" s="19" t="str">
        <f>IFERROR(__xludf.DUMMYFUNCTION("""COMPUTED_VALUE"""),"No")</f>
        <v>No</v>
      </c>
      <c r="S191" s="20" t="str">
        <f>IFERROR(__xludf.DUMMYFUNCTION("""COMPUTED_VALUE"""),"https://www.goodreads.com/book/show/51578713-virgin-flyer")</f>
        <v>https://www.goodreads.com/book/show/51578713-virgin-flyer</v>
      </c>
    </row>
    <row r="192">
      <c r="A192" s="16">
        <f>IFERROR(__xludf.DUMMYFUNCTION("""COMPUTED_VALUE"""),44780.96807871528)</f>
        <v>44780.96808</v>
      </c>
      <c r="B192" s="13" t="str">
        <f>IFERROR(__xludf.DUMMYFUNCTION("""COMPUTED_VALUE"""),"Add new entry")</f>
        <v>Add new entry</v>
      </c>
      <c r="C192" s="17" t="str">
        <f>IFERROR(__xludf.DUMMYFUNCTION("""COMPUTED_VALUE"""),"By A Thread")</f>
        <v>By A Thread</v>
      </c>
      <c r="D192" s="18" t="str">
        <f>IFERROR(__xludf.DUMMYFUNCTION("""COMPUTED_VALUE"""),"Lucy Score")</f>
        <v>Lucy Score</v>
      </c>
      <c r="E192" s="18" t="str">
        <f>IFERROR(__xludf.DUMMYFUNCTION("""COMPUTED_VALUE"""),"M/F")</f>
        <v>M/F</v>
      </c>
      <c r="F192" s="18"/>
      <c r="G192" s="18"/>
      <c r="H192" s="18" t="str">
        <f>IFERROR(__xludf.DUMMYFUNCTION("""COMPUTED_VALUE"""),"Dual POV, First person")</f>
        <v>Dual POV, First person</v>
      </c>
      <c r="I192" s="18" t="str">
        <f>IFERROR(__xludf.DUMMYFUNCTION("""COMPUTED_VALUE"""),"Contemporary, Romantic Comedy")</f>
        <v>Contemporary, Romantic Comedy</v>
      </c>
      <c r="J192" s="18" t="str">
        <f>IFERROR(__xludf.DUMMYFUNCTION("""COMPUTED_VALUE"""),"Class Differences, Coworkers or Colleagues, Enemies-to-lovers (or dislike-to-love), Forced Proximity, Mature (35 and over), Opposites Attract")</f>
        <v>Class Differences, Coworkers or Colleagues, Enemies-to-lovers (or dislike-to-love), Forced Proximity, Mature (35 and over), Opposites Attract</v>
      </c>
      <c r="K192" s="18" t="str">
        <f>IFERROR(__xludf.DUMMYFUNCTION("""COMPUTED_VALUE"""),"North America")</f>
        <v>North America</v>
      </c>
      <c r="L192" s="18" t="str">
        <f>IFERROR(__xludf.DUMMYFUNCTION("""COMPUTED_VALUE"""),"Level 3- Sexual content in a few chapters")</f>
        <v>Level 3- Sexual content in a few chapters</v>
      </c>
      <c r="M192" s="18"/>
      <c r="N192" s="18" t="str">
        <f>IFERROR(__xludf.DUMMYFUNCTION("""COMPUTED_VALUE"""),"Standalone (not part of a series)")</f>
        <v>Standalone (not part of a series)</v>
      </c>
      <c r="O192" s="18"/>
      <c r="P192" s="18" t="str">
        <f>IFERROR(__xludf.DUMMYFUNCTION("""COMPUTED_VALUE"""),"Laugh, Rage")</f>
        <v>Laugh, Rage</v>
      </c>
      <c r="Q192" s="18"/>
      <c r="R192" s="19" t="str">
        <f>IFERROR(__xludf.DUMMYFUNCTION("""COMPUTED_VALUE"""),"No")</f>
        <v>No</v>
      </c>
      <c r="S192" s="20" t="str">
        <f>IFERROR(__xludf.DUMMYFUNCTION("""COMPUTED_VALUE"""),"https://www.goodreads.com/book/show/48677178-by-a-thread")</f>
        <v>https://www.goodreads.com/book/show/48677178-by-a-thread</v>
      </c>
    </row>
    <row r="193">
      <c r="A193" s="16">
        <f>IFERROR(__xludf.DUMMYFUNCTION("""COMPUTED_VALUE"""),44780.96993180556)</f>
        <v>44780.96993</v>
      </c>
      <c r="B193" s="13" t="str">
        <f>IFERROR(__xludf.DUMMYFUNCTION("""COMPUTED_VALUE"""),"Add new entry")</f>
        <v>Add new entry</v>
      </c>
      <c r="C193" s="17" t="str">
        <f>IFERROR(__xludf.DUMMYFUNCTION("""COMPUTED_VALUE"""),"Protecting What's Mine")</f>
        <v>Protecting What's Mine</v>
      </c>
      <c r="D193" s="18" t="str">
        <f>IFERROR(__xludf.DUMMYFUNCTION("""COMPUTED_VALUE"""),"Lucy Score")</f>
        <v>Lucy Score</v>
      </c>
      <c r="E193" s="18" t="str">
        <f>IFERROR(__xludf.DUMMYFUNCTION("""COMPUTED_VALUE"""),"M/F")</f>
        <v>M/F</v>
      </c>
      <c r="F193" s="18"/>
      <c r="G193" s="18"/>
      <c r="H193" s="18" t="str">
        <f>IFERROR(__xludf.DUMMYFUNCTION("""COMPUTED_VALUE"""),"Third person")</f>
        <v>Third person</v>
      </c>
      <c r="I193" s="18" t="str">
        <f>IFERROR(__xludf.DUMMYFUNCTION("""COMPUTED_VALUE"""),"Contemporary, Romantic Comedy")</f>
        <v>Contemporary, Romantic Comedy</v>
      </c>
      <c r="J193" s="18" t="str">
        <f>IFERROR(__xludf.DUMMYFUNCTION("""COMPUTED_VALUE"""),"First Responders- Firefighter/Police etc, Medical- Doctor/Nurse/Vet etc, Neighbors-to-lovers, Small Town")</f>
        <v>First Responders- Firefighter/Police etc, Medical- Doctor/Nurse/Vet etc, Neighbors-to-lovers, Small Town</v>
      </c>
      <c r="K193" s="18" t="str">
        <f>IFERROR(__xludf.DUMMYFUNCTION("""COMPUTED_VALUE"""),"North America")</f>
        <v>North America</v>
      </c>
      <c r="L193" s="18" t="str">
        <f>IFERROR(__xludf.DUMMYFUNCTION("""COMPUTED_VALUE"""),"Level 3- Sexual content in a few chapters")</f>
        <v>Level 3- Sexual content in a few chapters</v>
      </c>
      <c r="M193" s="18"/>
      <c r="N193" s="18"/>
      <c r="O193" s="18" t="str">
        <f>IFERROR(__xludf.DUMMYFUNCTION("""COMPUTED_VALUE"""),"Benevolence #3")</f>
        <v>Benevolence #3</v>
      </c>
      <c r="P193" s="18" t="str">
        <f>IFERROR(__xludf.DUMMYFUNCTION("""COMPUTED_VALUE"""),"Swoon, Laugh, Inspired")</f>
        <v>Swoon, Laugh, Inspired</v>
      </c>
      <c r="Q193" s="18"/>
      <c r="R193" s="19" t="str">
        <f>IFERROR(__xludf.DUMMYFUNCTION("""COMPUTED_VALUE"""),"No")</f>
        <v>No</v>
      </c>
      <c r="S193" s="20" t="str">
        <f>IFERROR(__xludf.DUMMYFUNCTION("""COMPUTED_VALUE"""),"https://www.goodreads.com/book/show/50350996-protecting-what-s-mine")</f>
        <v>https://www.goodreads.com/book/show/50350996-protecting-what-s-mine</v>
      </c>
    </row>
    <row r="194">
      <c r="A194" s="16">
        <f>IFERROR(__xludf.DUMMYFUNCTION("""COMPUTED_VALUE"""),44780.97270873843)</f>
        <v>44780.97271</v>
      </c>
      <c r="B194" s="13" t="str">
        <f>IFERROR(__xludf.DUMMYFUNCTION("""COMPUTED_VALUE"""),"Add new entry")</f>
        <v>Add new entry</v>
      </c>
      <c r="C194" s="17" t="str">
        <f>IFERROR(__xludf.DUMMYFUNCTION("""COMPUTED_VALUE"""),"Riley Thorn and the Dead Guy Next Door ")</f>
        <v>Riley Thorn and the Dead Guy Next Door </v>
      </c>
      <c r="D194" s="18" t="str">
        <f>IFERROR(__xludf.DUMMYFUNCTION("""COMPUTED_VALUE"""),"Lucy Score")</f>
        <v>Lucy Score</v>
      </c>
      <c r="E194" s="18" t="str">
        <f>IFERROR(__xludf.DUMMYFUNCTION("""COMPUTED_VALUE"""),"M/F")</f>
        <v>M/F</v>
      </c>
      <c r="F194" s="18"/>
      <c r="G194" s="18"/>
      <c r="H194" s="18" t="str">
        <f>IFERROR(__xludf.DUMMYFUNCTION("""COMPUTED_VALUE"""),"Dual POV")</f>
        <v>Dual POV</v>
      </c>
      <c r="I194" s="18" t="str">
        <f>IFERROR(__xludf.DUMMYFUNCTION("""COMPUTED_VALUE"""),"Contemporary, Paranormal, Romantic Comedy")</f>
        <v>Contemporary, Paranormal, Romantic Comedy</v>
      </c>
      <c r="J194" s="18" t="str">
        <f>IFERROR(__xludf.DUMMYFUNCTION("""COMPUTED_VALUE"""),"Slow Burn, Spy/Intrigue/Mystery, Psychic")</f>
        <v>Slow Burn, Spy/Intrigue/Mystery, Psychic</v>
      </c>
      <c r="K194" s="18" t="str">
        <f>IFERROR(__xludf.DUMMYFUNCTION("""COMPUTED_VALUE"""),"North America")</f>
        <v>North America</v>
      </c>
      <c r="L194" s="18" t="str">
        <f>IFERROR(__xludf.DUMMYFUNCTION("""COMPUTED_VALUE"""),"Level 3- Sexual content in a few chapters")</f>
        <v>Level 3- Sexual content in a few chapters</v>
      </c>
      <c r="M194" s="18"/>
      <c r="N194" s="18"/>
      <c r="O194" s="18" t="str">
        <f>IFERROR(__xludf.DUMMYFUNCTION("""COMPUTED_VALUE"""),"Riley Thorn #1")</f>
        <v>Riley Thorn #1</v>
      </c>
      <c r="P194" s="18"/>
      <c r="Q194" s="18"/>
      <c r="R194" s="19" t="str">
        <f>IFERROR(__xludf.DUMMYFUNCTION("""COMPUTED_VALUE"""),"No")</f>
        <v>No</v>
      </c>
      <c r="S194" s="20" t="str">
        <f>IFERROR(__xludf.DUMMYFUNCTION("""COMPUTED_VALUE"""),"https://www.goodreads.com/book/show/55029958-riley-thorn-and-the-dead-guy-next-door")</f>
        <v>https://www.goodreads.com/book/show/55029958-riley-thorn-and-the-dead-guy-next-door</v>
      </c>
    </row>
    <row r="195">
      <c r="A195" s="16">
        <f>IFERROR(__xludf.DUMMYFUNCTION("""COMPUTED_VALUE"""),44780.976452731484)</f>
        <v>44780.97645</v>
      </c>
      <c r="B195" s="13" t="str">
        <f>IFERROR(__xludf.DUMMYFUNCTION("""COMPUTED_VALUE"""),"Add new entry")</f>
        <v>Add new entry</v>
      </c>
      <c r="C195" s="17" t="str">
        <f>IFERROR(__xludf.DUMMYFUNCTION("""COMPUTED_VALUE"""),"Rock Bottom Girl")</f>
        <v>Rock Bottom Girl</v>
      </c>
      <c r="D195" s="18" t="str">
        <f>IFERROR(__xludf.DUMMYFUNCTION("""COMPUTED_VALUE"""),"Lucy Score")</f>
        <v>Lucy Score</v>
      </c>
      <c r="E195" s="18" t="str">
        <f>IFERROR(__xludf.DUMMYFUNCTION("""COMPUTED_VALUE"""),"M/F")</f>
        <v>M/F</v>
      </c>
      <c r="F195" s="18"/>
      <c r="G195" s="18"/>
      <c r="H195" s="18" t="str">
        <f>IFERROR(__xludf.DUMMYFUNCTION("""COMPUTED_VALUE"""),"Single POV, First person")</f>
        <v>Single POV, First person</v>
      </c>
      <c r="I195" s="18" t="str">
        <f>IFERROR(__xludf.DUMMYFUNCTION("""COMPUTED_VALUE"""),"Contemporary, Romantic Comedy")</f>
        <v>Contemporary, Romantic Comedy</v>
      </c>
      <c r="J195" s="18" t="str">
        <f>IFERROR(__xludf.DUMMYFUNCTION("""COMPUTED_VALUE"""),"Coworkers or Colleagues, Enemies-to-lovers (or dislike-to-love), Fake Relationship, Mature (35 and over)")</f>
        <v>Coworkers or Colleagues, Enemies-to-lovers (or dislike-to-love), Fake Relationship, Mature (35 and over)</v>
      </c>
      <c r="K195" s="18" t="str">
        <f>IFERROR(__xludf.DUMMYFUNCTION("""COMPUTED_VALUE"""),"North America")</f>
        <v>North America</v>
      </c>
      <c r="L195" s="18" t="str">
        <f>IFERROR(__xludf.DUMMYFUNCTION("""COMPUTED_VALUE"""),"Level 3- Sexual content in a few chapters")</f>
        <v>Level 3- Sexual content in a few chapters</v>
      </c>
      <c r="M195" s="18"/>
      <c r="N195" s="18" t="str">
        <f>IFERROR(__xludf.DUMMYFUNCTION("""COMPUTED_VALUE"""),"Standalone (not part of a series)")</f>
        <v>Standalone (not part of a series)</v>
      </c>
      <c r="O195" s="18"/>
      <c r="P195" s="18" t="str">
        <f>IFERROR(__xludf.DUMMYFUNCTION("""COMPUTED_VALUE"""),"Laugh, Feel feels")</f>
        <v>Laugh, Feel feels</v>
      </c>
      <c r="Q195" s="18"/>
      <c r="R195" s="19" t="str">
        <f>IFERROR(__xludf.DUMMYFUNCTION("""COMPUTED_VALUE"""),"No")</f>
        <v>No</v>
      </c>
      <c r="S195" s="20" t="str">
        <f>IFERROR(__xludf.DUMMYFUNCTION("""COMPUTED_VALUE"""),"https://www.goodreads.com/book/show/44178049-rock-bottom-girl")</f>
        <v>https://www.goodreads.com/book/show/44178049-rock-bottom-girl</v>
      </c>
    </row>
    <row r="196">
      <c r="A196" s="16">
        <f>IFERROR(__xludf.DUMMYFUNCTION("""COMPUTED_VALUE"""),44780.978034050924)</f>
        <v>44780.97803</v>
      </c>
      <c r="B196" s="13" t="str">
        <f>IFERROR(__xludf.DUMMYFUNCTION("""COMPUTED_VALUE"""),"Add new entry")</f>
        <v>Add new entry</v>
      </c>
      <c r="C196" s="17" t="str">
        <f>IFERROR(__xludf.DUMMYFUNCTION("""COMPUTED_VALUE"""),"The Price of Scandal")</f>
        <v>The Price of Scandal</v>
      </c>
      <c r="D196" s="18" t="str">
        <f>IFERROR(__xludf.DUMMYFUNCTION("""COMPUTED_VALUE"""),"Lucy Score")</f>
        <v>Lucy Score</v>
      </c>
      <c r="E196" s="18" t="str">
        <f>IFERROR(__xludf.DUMMYFUNCTION("""COMPUTED_VALUE"""),"M/F")</f>
        <v>M/F</v>
      </c>
      <c r="F196" s="18"/>
      <c r="G196" s="18"/>
      <c r="H196" s="18"/>
      <c r="I196" s="18" t="str">
        <f>IFERROR(__xludf.DUMMYFUNCTION("""COMPUTED_VALUE"""),"Contemporary, Romantic Comedy")</f>
        <v>Contemporary, Romantic Comedy</v>
      </c>
      <c r="J196" s="18" t="str">
        <f>IFERROR(__xludf.DUMMYFUNCTION("""COMPUTED_VALUE"""),"Billionaires/Millionaires/Gazillionaires etc, Class Differences, Coworkers or Colleagues")</f>
        <v>Billionaires/Millionaires/Gazillionaires etc, Class Differences, Coworkers or Colleagues</v>
      </c>
      <c r="K196" s="18" t="str">
        <f>IFERROR(__xludf.DUMMYFUNCTION("""COMPUTED_VALUE"""),"North America")</f>
        <v>North America</v>
      </c>
      <c r="L196" s="18" t="str">
        <f>IFERROR(__xludf.DUMMYFUNCTION("""COMPUTED_VALUE"""),"Level 3- Sexual content in a few chapters")</f>
        <v>Level 3- Sexual content in a few chapters</v>
      </c>
      <c r="M196" s="18"/>
      <c r="N196" s="18" t="str">
        <f>IFERROR(__xludf.DUMMYFUNCTION("""COMPUTED_VALUE"""),"Series- can be read as standalones")</f>
        <v>Series- can be read as standalones</v>
      </c>
      <c r="O196" s="18" t="str">
        <f>IFERROR(__xludf.DUMMYFUNCTION("""COMPUTED_VALUE"""),"Bluewater Billionaires")</f>
        <v>Bluewater Billionaires</v>
      </c>
      <c r="P196" s="18" t="str">
        <f>IFERROR(__xludf.DUMMYFUNCTION("""COMPUTED_VALUE"""),"Swoon, Laugh")</f>
        <v>Swoon, Laugh</v>
      </c>
      <c r="Q196" s="18"/>
      <c r="R196" s="19" t="str">
        <f>IFERROR(__xludf.DUMMYFUNCTION("""COMPUTED_VALUE"""),"No")</f>
        <v>No</v>
      </c>
      <c r="S196" s="20" t="str">
        <f>IFERROR(__xludf.DUMMYFUNCTION("""COMPUTED_VALUE"""),"https://www.goodreads.com/book/show/51079724-the-price-of-scandal")</f>
        <v>https://www.goodreads.com/book/show/51079724-the-price-of-scandal</v>
      </c>
    </row>
    <row r="197">
      <c r="A197" s="16">
        <f>IFERROR(__xludf.DUMMYFUNCTION("""COMPUTED_VALUE"""),44780.97966244213)</f>
        <v>44780.97966</v>
      </c>
      <c r="B197" s="13" t="str">
        <f>IFERROR(__xludf.DUMMYFUNCTION("""COMPUTED_VALUE"""),"Add new entry")</f>
        <v>Add new entry</v>
      </c>
      <c r="C197" s="17" t="str">
        <f>IFERROR(__xludf.DUMMYFUNCTION("""COMPUTED_VALUE"""),"Whiskey Chaser")</f>
        <v>Whiskey Chaser</v>
      </c>
      <c r="D197" s="18" t="str">
        <f>IFERROR(__xludf.DUMMYFUNCTION("""COMPUTED_VALUE"""),"Lucy Score &amp; Claire Kingsley")</f>
        <v>Lucy Score &amp; Claire Kingsley</v>
      </c>
      <c r="E197" s="18" t="str">
        <f>IFERROR(__xludf.DUMMYFUNCTION("""COMPUTED_VALUE"""),"M/F")</f>
        <v>M/F</v>
      </c>
      <c r="F197" s="18"/>
      <c r="G197" s="18"/>
      <c r="H197" s="18" t="str">
        <f>IFERROR(__xludf.DUMMYFUNCTION("""COMPUTED_VALUE"""),"Dual POV, First person")</f>
        <v>Dual POV, First person</v>
      </c>
      <c r="I197" s="18" t="str">
        <f>IFERROR(__xludf.DUMMYFUNCTION("""COMPUTED_VALUE"""),"Contemporary, Romantic Comedy")</f>
        <v>Contemporary, Romantic Comedy</v>
      </c>
      <c r="J197" s="18" t="str">
        <f>IFERROR(__xludf.DUMMYFUNCTION("""COMPUTED_VALUE"""),"Age Difference, Blue Collar/Farmer/Rancher etc, Class Differences, Forced Proximity, Neighbors-to-lovers, Opposites Attract")</f>
        <v>Age Difference, Blue Collar/Farmer/Rancher etc, Class Differences, Forced Proximity, Neighbors-to-lovers, Opposites Attract</v>
      </c>
      <c r="K197" s="18"/>
      <c r="L197" s="18" t="str">
        <f>IFERROR(__xludf.DUMMYFUNCTION("""COMPUTED_VALUE"""),"Level 3- Sexual content in a few chapters")</f>
        <v>Level 3- Sexual content in a few chapters</v>
      </c>
      <c r="M197" s="18"/>
      <c r="N197" s="18"/>
      <c r="O197" s="18" t="str">
        <f>IFERROR(__xludf.DUMMYFUNCTION("""COMPUTED_VALUE"""),"Bootleg Springs #1")</f>
        <v>Bootleg Springs #1</v>
      </c>
      <c r="P197" s="18" t="str">
        <f>IFERROR(__xludf.DUMMYFUNCTION("""COMPUTED_VALUE"""),"Swoon, Laugh, Rage, Smolder, Transported")</f>
        <v>Swoon, Laugh, Rage, Smolder, Transported</v>
      </c>
      <c r="Q197" s="18"/>
      <c r="R197" s="19" t="str">
        <f>IFERROR(__xludf.DUMMYFUNCTION("""COMPUTED_VALUE"""),"No")</f>
        <v>No</v>
      </c>
      <c r="S197" s="20" t="str">
        <f>IFERROR(__xludf.DUMMYFUNCTION("""COMPUTED_VALUE"""),"https://www.goodreads.com/book/show/39693841-whiskey-chaser")</f>
        <v>https://www.goodreads.com/book/show/39693841-whiskey-chaser</v>
      </c>
    </row>
    <row r="198">
      <c r="A198" s="16">
        <f>IFERROR(__xludf.DUMMYFUNCTION("""COMPUTED_VALUE"""),45419.09736168981)</f>
        <v>45419.09736</v>
      </c>
      <c r="B198" s="13" t="str">
        <f>IFERROR(__xludf.DUMMYFUNCTION("""COMPUTED_VALUE"""),"Add new entry")</f>
        <v>Add new entry</v>
      </c>
      <c r="C198" s="17" t="str">
        <f>IFERROR(__xludf.DUMMYFUNCTION("""COMPUTED_VALUE"""),"Thief of Cahraman")</f>
        <v>Thief of Cahraman</v>
      </c>
      <c r="D198" s="18" t="str">
        <f>IFERROR(__xludf.DUMMYFUNCTION("""COMPUTED_VALUE"""),"Lucy Tempest")</f>
        <v>Lucy Tempest</v>
      </c>
      <c r="E198" s="18" t="str">
        <f>IFERROR(__xludf.DUMMYFUNCTION("""COMPUTED_VALUE"""),"M/F")</f>
        <v>M/F</v>
      </c>
      <c r="F198" s="18" t="str">
        <f>IFERROR(__xludf.DUMMYFUNCTION("""COMPUTED_VALUE"""),"BIPoC (Black, Indigenous, People of Colour)")</f>
        <v>BIPoC (Black, Indigenous, People of Colour)</v>
      </c>
      <c r="G198" s="18"/>
      <c r="H198" s="18" t="str">
        <f>IFERROR(__xludf.DUMMYFUNCTION("""COMPUTED_VALUE"""),"Single POV")</f>
        <v>Single POV</v>
      </c>
      <c r="I198" s="18" t="str">
        <f>IFERROR(__xludf.DUMMYFUNCTION("""COMPUTED_VALUE"""),"Fantasy, Young Adult (YA)")</f>
        <v>Fantasy, Young Adult (YA)</v>
      </c>
      <c r="J198" s="18" t="str">
        <f>IFERROR(__xludf.DUMMYFUNCTION("""COMPUTED_VALUE"""),"Class Differences, Creatures or Monsters- Dragon/Orc/Fae/etc, Grumpy/Sunshine, Lawful/Chaotic, Loner/Isolated, Mistaken or False Identity, Retellings- Fairytale/Folklore/Mythology, Royalty, Witch/Wizard/Warlock etc")</f>
        <v>Class Differences, Creatures or Monsters- Dragon/Orc/Fae/etc, Grumpy/Sunshine, Lawful/Chaotic, Loner/Isolated, Mistaken or False Identity, Retellings- Fairytale/Folklore/Mythology, Royalty, Witch/Wizard/Warlock etc</v>
      </c>
      <c r="K198" s="18" t="str">
        <f>IFERROR(__xludf.DUMMYFUNCTION("""COMPUTED_VALUE"""),"Fantasy world based on the middle east/asia")</f>
        <v>Fantasy world based on the middle east/asia</v>
      </c>
      <c r="L198" s="18" t="str">
        <f>IFERROR(__xludf.DUMMYFUNCTION("""COMPUTED_VALUE"""),"Level 1- Kisses only, no mention of sex")</f>
        <v>Level 1- Kisses only, no mention of sex</v>
      </c>
      <c r="M198" s="18"/>
      <c r="N198" s="18" t="str">
        <f>IFERROR(__xludf.DUMMYFUNCTION("""COMPUTED_VALUE"""),"Series- must be read in order")</f>
        <v>Series- must be read in order</v>
      </c>
      <c r="O198" s="18" t="str">
        <f>IFERROR(__xludf.DUMMYFUNCTION("""COMPUTED_VALUE"""),"Fairytales of Folkshore #1")</f>
        <v>Fairytales of Folkshore #1</v>
      </c>
      <c r="P198" s="18" t="str">
        <f>IFERROR(__xludf.DUMMYFUNCTION("""COMPUTED_VALUE"""),"Laugh, Feel feels, Dream")</f>
        <v>Laugh, Feel feels, Dream</v>
      </c>
      <c r="Q198" s="18" t="str">
        <f>IFERROR(__xludf.DUMMYFUNCTION("""COMPUTED_VALUE"""),"Blood, violence, death of a parent (mentioned)")</f>
        <v>Blood, violence, death of a parent (mentioned)</v>
      </c>
      <c r="R198" s="19" t="str">
        <f>IFERROR(__xludf.DUMMYFUNCTION("""COMPUTED_VALUE"""),"No")</f>
        <v>No</v>
      </c>
      <c r="S198" s="20" t="str">
        <f>IFERROR(__xludf.DUMMYFUNCTION("""COMPUTED_VALUE"""),"https://www.goodreads.com/book/show/40933577-thief-of-cahraman")</f>
        <v>https://www.goodreads.com/book/show/40933577-thief-of-cahraman</v>
      </c>
    </row>
    <row r="199">
      <c r="A199" s="16">
        <f>IFERROR(__xludf.DUMMYFUNCTION("""COMPUTED_VALUE"""),45419.10140329861)</f>
        <v>45419.1014</v>
      </c>
      <c r="B199" s="13" t="str">
        <f>IFERROR(__xludf.DUMMYFUNCTION("""COMPUTED_VALUE"""),"Add new entry")</f>
        <v>Add new entry</v>
      </c>
      <c r="C199" s="17" t="str">
        <f>IFERROR(__xludf.DUMMYFUNCTION("""COMPUTED_VALUE"""),"Prince of Cahraman ")</f>
        <v>Prince of Cahraman </v>
      </c>
      <c r="D199" s="18" t="str">
        <f>IFERROR(__xludf.DUMMYFUNCTION("""COMPUTED_VALUE"""),"Lucy Tempest ")</f>
        <v>Lucy Tempest </v>
      </c>
      <c r="E199" s="18" t="str">
        <f>IFERROR(__xludf.DUMMYFUNCTION("""COMPUTED_VALUE"""),"M/F")</f>
        <v>M/F</v>
      </c>
      <c r="F199" s="18" t="str">
        <f>IFERROR(__xludf.DUMMYFUNCTION("""COMPUTED_VALUE"""),"BIPoC (Black, Indigenous, People of Colour)")</f>
        <v>BIPoC (Black, Indigenous, People of Colour)</v>
      </c>
      <c r="G199" s="18"/>
      <c r="H199" s="18" t="str">
        <f>IFERROR(__xludf.DUMMYFUNCTION("""COMPUTED_VALUE"""),"Single POV")</f>
        <v>Single POV</v>
      </c>
      <c r="I199" s="18" t="str">
        <f>IFERROR(__xludf.DUMMYFUNCTION("""COMPUTED_VALUE"""),"Fantasy, Young Adult (YA)")</f>
        <v>Fantasy, Young Adult (YA)</v>
      </c>
      <c r="J199" s="18" t="str">
        <f>IFERROR(__xludf.DUMMYFUNCTION("""COMPUTED_VALUE"""),"Forced Proximity, Grumpy/Sunshine, Mistaken or False Identity, Retellings- Fairytale/Folklore/Mythology, Royalty, Sweet MC- beta hero/kindhearted heroine/etc")</f>
        <v>Forced Proximity, Grumpy/Sunshine, Mistaken or False Identity, Retellings- Fairytale/Folklore/Mythology, Royalty, Sweet MC- beta hero/kindhearted heroine/etc</v>
      </c>
      <c r="K199" s="18" t="str">
        <f>IFERROR(__xludf.DUMMYFUNCTION("""COMPUTED_VALUE"""),"Fantasy world based on the middle east/asia")</f>
        <v>Fantasy world based on the middle east/asia</v>
      </c>
      <c r="L199" s="18" t="str">
        <f>IFERROR(__xludf.DUMMYFUNCTION("""COMPUTED_VALUE"""),"Level 1- Kisses only, no mention of sex")</f>
        <v>Level 1- Kisses only, no mention of sex</v>
      </c>
      <c r="M199" s="18"/>
      <c r="N199" s="18" t="str">
        <f>IFERROR(__xludf.DUMMYFUNCTION("""COMPUTED_VALUE"""),"Series- must be read in order")</f>
        <v>Series- must be read in order</v>
      </c>
      <c r="O199" s="18" t="str">
        <f>IFERROR(__xludf.DUMMYFUNCTION("""COMPUTED_VALUE"""),"Fairytales of Folkshore #2")</f>
        <v>Fairytales of Folkshore #2</v>
      </c>
      <c r="P199" s="18" t="str">
        <f>IFERROR(__xludf.DUMMYFUNCTION("""COMPUTED_VALUE"""),"Laugh, Transported")</f>
        <v>Laugh, Transported</v>
      </c>
      <c r="Q199" s="18" t="str">
        <f>IFERROR(__xludf.DUMMYFUNCTION("""COMPUTED_VALUE"""),"Threats, jnjury/injury detail, violence, blood, near death experience, death of parent (mentioned)")</f>
        <v>Threats, jnjury/injury detail, violence, blood, near death experience, death of parent (mentioned)</v>
      </c>
      <c r="R199" s="19" t="str">
        <f>IFERROR(__xludf.DUMMYFUNCTION("""COMPUTED_VALUE"""),"No")</f>
        <v>No</v>
      </c>
      <c r="S199" s="20" t="str">
        <f>IFERROR(__xludf.DUMMYFUNCTION("""COMPUTED_VALUE"""),"https://www.goodreads.com/book/show/41059130-prince-of-cahraman")</f>
        <v>https://www.goodreads.com/book/show/41059130-prince-of-cahraman</v>
      </c>
    </row>
    <row r="200">
      <c r="A200" s="16">
        <f>IFERROR(__xludf.DUMMYFUNCTION("""COMPUTED_VALUE"""),45419.10793887732)</f>
        <v>45419.10794</v>
      </c>
      <c r="B200" s="13" t="str">
        <f>IFERROR(__xludf.DUMMYFUNCTION("""COMPUTED_VALUE"""),"Add new entry")</f>
        <v>Add new entry</v>
      </c>
      <c r="C200" s="17" t="str">
        <f>IFERROR(__xludf.DUMMYFUNCTION("""COMPUTED_VALUE"""),"Queen of Cahraman ")</f>
        <v>Queen of Cahraman </v>
      </c>
      <c r="D200" s="18" t="str">
        <f>IFERROR(__xludf.DUMMYFUNCTION("""COMPUTED_VALUE"""),"Lucy Tempest ")</f>
        <v>Lucy Tempest </v>
      </c>
      <c r="E200" s="18" t="str">
        <f>IFERROR(__xludf.DUMMYFUNCTION("""COMPUTED_VALUE"""),"M/F")</f>
        <v>M/F</v>
      </c>
      <c r="F200" s="18" t="str">
        <f>IFERROR(__xludf.DUMMYFUNCTION("""COMPUTED_VALUE"""),"BIPoC (Black, Indigenous, People of Colour)")</f>
        <v>BIPoC (Black, Indigenous, People of Colour)</v>
      </c>
      <c r="G200" s="18"/>
      <c r="H200" s="18" t="str">
        <f>IFERROR(__xludf.DUMMYFUNCTION("""COMPUTED_VALUE"""),"Single POV")</f>
        <v>Single POV</v>
      </c>
      <c r="I200" s="18" t="str">
        <f>IFERROR(__xludf.DUMMYFUNCTION("""COMPUTED_VALUE"""),"Fantasy, Young Adult (YA)")</f>
        <v>Fantasy, Young Adult (YA)</v>
      </c>
      <c r="J200" s="18" t="str">
        <f>IFERROR(__xludf.DUMMYFUNCTION("""COMPUTED_VALUE"""),"Class Differences, Creatures or Monsters- Dragon/Orc/Fae/etc, Retellings- Fairytale/Folklore/Mythology, Royalty, Sweet MC- beta hero/kindhearted heroine/etc, Witch/Wizard/Warlock etc")</f>
        <v>Class Differences, Creatures or Monsters- Dragon/Orc/Fae/etc, Retellings- Fairytale/Folklore/Mythology, Royalty, Sweet MC- beta hero/kindhearted heroine/etc, Witch/Wizard/Warlock etc</v>
      </c>
      <c r="K200" s="18" t="str">
        <f>IFERROR(__xludf.DUMMYFUNCTION("""COMPUTED_VALUE"""),"Fantasy world based on the middle east/asia")</f>
        <v>Fantasy world based on the middle east/asia</v>
      </c>
      <c r="L200" s="18" t="str">
        <f>IFERROR(__xludf.DUMMYFUNCTION("""COMPUTED_VALUE"""),"Level 1- Kisses only, no mention of sex")</f>
        <v>Level 1- Kisses only, no mention of sex</v>
      </c>
      <c r="M200" s="18"/>
      <c r="N200" s="18" t="str">
        <f>IFERROR(__xludf.DUMMYFUNCTION("""COMPUTED_VALUE"""),"Series- must be read in order")</f>
        <v>Series- must be read in order</v>
      </c>
      <c r="O200" s="18" t="str">
        <f>IFERROR(__xludf.DUMMYFUNCTION("""COMPUTED_VALUE"""),"Fairytales of Folkshore #3")</f>
        <v>Fairytales of Folkshore #3</v>
      </c>
      <c r="P200" s="18" t="str">
        <f>IFERROR(__xludf.DUMMYFUNCTION("""COMPUTED_VALUE"""),"Laugh, Feel feels, Transported")</f>
        <v>Laugh, Feel feels, Transported</v>
      </c>
      <c r="Q200" s="18" t="str">
        <f>IFERROR(__xludf.DUMMYFUNCTION("""COMPUTED_VALUE"""),"Blood, injury/injury detail, fire/fire injury, violence, near death experience, death of parent (mentioned), war/battle, confinement")</f>
        <v>Blood, injury/injury detail, fire/fire injury, violence, near death experience, death of parent (mentioned), war/battle, confinement</v>
      </c>
      <c r="R200" s="19" t="str">
        <f>IFERROR(__xludf.DUMMYFUNCTION("""COMPUTED_VALUE"""),"No")</f>
        <v>No</v>
      </c>
      <c r="S200" s="20" t="str">
        <f>IFERROR(__xludf.DUMMYFUNCTION("""COMPUTED_VALUE"""),"https://www.goodreads.com/book/show/42651348-queen-of-cahraman")</f>
        <v>https://www.goodreads.com/book/show/42651348-queen-of-cahraman</v>
      </c>
    </row>
    <row r="201">
      <c r="A201" s="16">
        <f>IFERROR(__xludf.DUMMYFUNCTION("""COMPUTED_VALUE"""),45162.25412878473)</f>
        <v>45162.25413</v>
      </c>
      <c r="B201" s="13" t="str">
        <f>IFERROR(__xludf.DUMMYFUNCTION("""COMPUTED_VALUE"""),"Add new entry")</f>
        <v>Add new entry</v>
      </c>
      <c r="C201" s="17" t="str">
        <f>IFERROR(__xludf.DUMMYFUNCTION("""COMPUTED_VALUE"""),"One Indulgence ")</f>
        <v>One Indulgence </v>
      </c>
      <c r="D201" s="18" t="str">
        <f>IFERROR(__xludf.DUMMYFUNCTION("""COMPUTED_VALUE"""),"Lydia Gastrell")</f>
        <v>Lydia Gastrell</v>
      </c>
      <c r="E201" s="18" t="str">
        <f>IFERROR(__xludf.DUMMYFUNCTION("""COMPUTED_VALUE"""),"M/M")</f>
        <v>M/M</v>
      </c>
      <c r="F201" s="18" t="str">
        <f>IFERROR(__xludf.DUMMYFUNCTION("""COMPUTED_VALUE"""),"LGBTQIA+ &amp; GSM (Gender and Sexual Minorities)")</f>
        <v>LGBTQIA+ &amp; GSM (Gender and Sexual Minorities)</v>
      </c>
      <c r="G201" s="18"/>
      <c r="H201" s="18" t="str">
        <f>IFERROR(__xludf.DUMMYFUNCTION("""COMPUTED_VALUE"""),"Third person")</f>
        <v>Third person</v>
      </c>
      <c r="I201" s="18" t="str">
        <f>IFERROR(__xludf.DUMMYFUNCTION("""COMPUTED_VALUE"""),"Historical Romance")</f>
        <v>Historical Romance</v>
      </c>
      <c r="J201" s="18" t="str">
        <f>IFERROR(__xludf.DUMMYFUNCTION("""COMPUTED_VALUE"""),"One Night Stand, Pining/Yearning, Regency, Virgin MC")</f>
        <v>One Night Stand, Pining/Yearning, Regency, Virgin MC</v>
      </c>
      <c r="K201" s="18" t="str">
        <f>IFERROR(__xludf.DUMMYFUNCTION("""COMPUTED_VALUE"""),"Europe")</f>
        <v>Europe</v>
      </c>
      <c r="L201" s="18" t="str">
        <f>IFERROR(__xludf.DUMMYFUNCTION("""COMPUTED_VALUE"""),"Level 3- Sexual content in a few chapters")</f>
        <v>Level 3- Sexual content in a few chapters</v>
      </c>
      <c r="M201" s="18" t="str">
        <f>IFERROR(__xludf.DUMMYFUNCTION("""COMPUTED_VALUE"""),"Anal sex, Oral sex - fellatio")</f>
        <v>Anal sex, Oral sex - fellatio</v>
      </c>
      <c r="N201" s="18" t="str">
        <f>IFERROR(__xludf.DUMMYFUNCTION("""COMPUTED_VALUE"""),"Series- can be read as standalones")</f>
        <v>Series- can be read as standalones</v>
      </c>
      <c r="O201" s="18" t="str">
        <f>IFERROR(__xludf.DUMMYFUNCTION("""COMPUTED_VALUE"""),"Indulgence duology")</f>
        <v>Indulgence duology</v>
      </c>
      <c r="P201" s="18" t="str">
        <f>IFERROR(__xludf.DUMMYFUNCTION("""COMPUTED_VALUE"""),"Tingle, Feel feels, Smolder")</f>
        <v>Tingle, Feel feels, Smolder</v>
      </c>
      <c r="Q201" s="18"/>
      <c r="R201" s="19" t="str">
        <f>IFERROR(__xludf.DUMMYFUNCTION("""COMPUTED_VALUE"""),"No")</f>
        <v>No</v>
      </c>
      <c r="S201" s="20" t="str">
        <f>IFERROR(__xludf.DUMMYFUNCTION("""COMPUTED_VALUE"""),"https://www.goodreads.com/book/show/22922028-one-indulgence")</f>
        <v>https://www.goodreads.com/book/show/22922028-one-indulgence</v>
      </c>
    </row>
    <row r="202">
      <c r="A202" s="16">
        <f>IFERROR(__xludf.DUMMYFUNCTION("""COMPUTED_VALUE"""),45162.261830219904)</f>
        <v>45162.26183</v>
      </c>
      <c r="B202" s="13" t="str">
        <f>IFERROR(__xludf.DUMMYFUNCTION("""COMPUTED_VALUE"""),"Add new entry")</f>
        <v>Add new entry</v>
      </c>
      <c r="C202" s="17" t="str">
        <f>IFERROR(__xludf.DUMMYFUNCTION("""COMPUTED_VALUE"""),"One Glimpse")</f>
        <v>One Glimpse</v>
      </c>
      <c r="D202" s="18" t="str">
        <f>IFERROR(__xludf.DUMMYFUNCTION("""COMPUTED_VALUE"""),"Lydia Gastrell")</f>
        <v>Lydia Gastrell</v>
      </c>
      <c r="E202" s="18" t="str">
        <f>IFERROR(__xludf.DUMMYFUNCTION("""COMPUTED_VALUE"""),"M/M")</f>
        <v>M/M</v>
      </c>
      <c r="F202" s="18" t="str">
        <f>IFERROR(__xludf.DUMMYFUNCTION("""COMPUTED_VALUE"""),"LGBTQIA+ &amp; GSM (Gender and Sexual Minorities)")</f>
        <v>LGBTQIA+ &amp; GSM (Gender and Sexual Minorities)</v>
      </c>
      <c r="G202" s="18"/>
      <c r="H202" s="18" t="str">
        <f>IFERROR(__xludf.DUMMYFUNCTION("""COMPUTED_VALUE"""),"Third person")</f>
        <v>Third person</v>
      </c>
      <c r="I202" s="18" t="str">
        <f>IFERROR(__xludf.DUMMYFUNCTION("""COMPUTED_VALUE"""),"Historical Romance")</f>
        <v>Historical Romance</v>
      </c>
      <c r="J202" s="18" t="str">
        <f>IFERROR(__xludf.DUMMYFUNCTION("""COMPUTED_VALUE"""),"Friends-to-lovers, Pining/Yearning, Regency, Slow Burn")</f>
        <v>Friends-to-lovers, Pining/Yearning, Regency, Slow Burn</v>
      </c>
      <c r="K202" s="18" t="str">
        <f>IFERROR(__xludf.DUMMYFUNCTION("""COMPUTED_VALUE"""),"Europe")</f>
        <v>Europe</v>
      </c>
      <c r="L202" s="18" t="str">
        <f>IFERROR(__xludf.DUMMYFUNCTION("""COMPUTED_VALUE"""),"Level 3- Sexual content in a few chapters")</f>
        <v>Level 3- Sexual content in a few chapters</v>
      </c>
      <c r="M202" s="18" t="str">
        <f>IFERROR(__xludf.DUMMYFUNCTION("""COMPUTED_VALUE"""),"Anal sex, Oral sex - fellatio")</f>
        <v>Anal sex, Oral sex - fellatio</v>
      </c>
      <c r="N202" s="18" t="str">
        <f>IFERROR(__xludf.DUMMYFUNCTION("""COMPUTED_VALUE"""),"Series- can be read as standalones")</f>
        <v>Series- can be read as standalones</v>
      </c>
      <c r="O202" s="18" t="str">
        <f>IFERROR(__xludf.DUMMYFUNCTION("""COMPUTED_VALUE"""),"Indulgence duology")</f>
        <v>Indulgence duology</v>
      </c>
      <c r="P202" s="18" t="str">
        <f>IFERROR(__xludf.DUMMYFUNCTION("""COMPUTED_VALUE"""),"Swoon, Tingle, Feel feels, Smolder")</f>
        <v>Swoon, Tingle, Feel feels, Smolder</v>
      </c>
      <c r="Q202" s="18"/>
      <c r="R202" s="19" t="str">
        <f>IFERROR(__xludf.DUMMYFUNCTION("""COMPUTED_VALUE"""),"No")</f>
        <v>No</v>
      </c>
      <c r="S202" s="20" t="str">
        <f>IFERROR(__xludf.DUMMYFUNCTION("""COMPUTED_VALUE"""),"https://www.goodreads.com/en/book/show/26131924")</f>
        <v>https://www.goodreads.com/en/book/show/26131924</v>
      </c>
    </row>
    <row r="203">
      <c r="A203" s="16">
        <f>IFERROR(__xludf.DUMMYFUNCTION("""COMPUTED_VALUE"""),44780.98134033565)</f>
        <v>44780.98134</v>
      </c>
      <c r="B203" s="13" t="str">
        <f>IFERROR(__xludf.DUMMYFUNCTION("""COMPUTED_VALUE"""),"Add new entry")</f>
        <v>Add new entry</v>
      </c>
      <c r="C203" s="17" t="str">
        <f>IFERROR(__xludf.DUMMYFUNCTION("""COMPUTED_VALUE"""),"Homebound")</f>
        <v>Homebound</v>
      </c>
      <c r="D203" s="18" t="str">
        <f>IFERROR(__xludf.DUMMYFUNCTION("""COMPUTED_VALUE"""),"Lydia Hope")</f>
        <v>Lydia Hope</v>
      </c>
      <c r="E203" s="18" t="str">
        <f>IFERROR(__xludf.DUMMYFUNCTION("""COMPUTED_VALUE"""),"M/F")</f>
        <v>M/F</v>
      </c>
      <c r="F203" s="18"/>
      <c r="G203" s="18"/>
      <c r="H203" s="18" t="str">
        <f>IFERROR(__xludf.DUMMYFUNCTION("""COMPUTED_VALUE"""),"Single POV")</f>
        <v>Single POV</v>
      </c>
      <c r="I203" s="18" t="str">
        <f>IFERROR(__xludf.DUMMYFUNCTION("""COMPUTED_VALUE"""),"Science Fiction &amp; Alien")</f>
        <v>Science Fiction &amp; Alien</v>
      </c>
      <c r="J203" s="18" t="str">
        <f>IFERROR(__xludf.DUMMYFUNCTION("""COMPUTED_VALUE"""),"Angst, Creatures or Monsters- Dragon/Orc/Fae/etc, Dystopian, Forbidden or Taboo, Hurt/Comfort")</f>
        <v>Angst, Creatures or Monsters- Dragon/Orc/Fae/etc, Dystopian, Forbidden or Taboo, Hurt/Comfort</v>
      </c>
      <c r="K203" s="18" t="str">
        <f>IFERROR(__xludf.DUMMYFUNCTION("""COMPUTED_VALUE"""),"North America")</f>
        <v>North America</v>
      </c>
      <c r="L203" s="18" t="str">
        <f>IFERROR(__xludf.DUMMYFUNCTION("""COMPUTED_VALUE"""),"Level 3- Sexual content in a few chapters")</f>
        <v>Level 3- Sexual content in a few chapters</v>
      </c>
      <c r="M203" s="18"/>
      <c r="N203" s="18" t="str">
        <f>IFERROR(__xludf.DUMMYFUNCTION("""COMPUTED_VALUE"""),"Standalone (not part of a series)")</f>
        <v>Standalone (not part of a series)</v>
      </c>
      <c r="O203" s="18"/>
      <c r="P203" s="18" t="str">
        <f>IFERROR(__xludf.DUMMYFUNCTION("""COMPUTED_VALUE"""),"Swoon, Cry")</f>
        <v>Swoon, Cry</v>
      </c>
      <c r="Q203" s="18" t="str">
        <f>IFERROR(__xludf.DUMMYFUNCTION("""COMPUTED_VALUE"""),"Attempted rape, violence")</f>
        <v>Attempted rape, violence</v>
      </c>
      <c r="R203" s="19" t="str">
        <f>IFERROR(__xludf.DUMMYFUNCTION("""COMPUTED_VALUE"""),"No")</f>
        <v>No</v>
      </c>
      <c r="S203" s="20" t="str">
        <f>IFERROR(__xludf.DUMMYFUNCTION("""COMPUTED_VALUE"""),"https://www.goodreads.com/book/show/50337348-homebound")</f>
        <v>https://www.goodreads.com/book/show/50337348-homebound</v>
      </c>
    </row>
    <row r="204">
      <c r="A204" s="16">
        <f>IFERROR(__xludf.DUMMYFUNCTION("""COMPUTED_VALUE"""),44780.985359571765)</f>
        <v>44780.98536</v>
      </c>
      <c r="B204" s="13" t="str">
        <f>IFERROR(__xludf.DUMMYFUNCTION("""COMPUTED_VALUE"""),"Add new entry")</f>
        <v>Add new entry</v>
      </c>
      <c r="C204" s="17" t="str">
        <f>IFERROR(__xludf.DUMMYFUNCTION("""COMPUTED_VALUE"""),"The Do-Over")</f>
        <v>The Do-Over</v>
      </c>
      <c r="D204" s="18" t="str">
        <f>IFERROR(__xludf.DUMMYFUNCTION("""COMPUTED_VALUE"""),"M. K. Schiller")</f>
        <v>M. K. Schiller</v>
      </c>
      <c r="E204" s="18" t="str">
        <f>IFERROR(__xludf.DUMMYFUNCTION("""COMPUTED_VALUE"""),"M/F")</f>
        <v>M/F</v>
      </c>
      <c r="F204" s="18"/>
      <c r="G204" s="18"/>
      <c r="H204" s="18" t="str">
        <f>IFERROR(__xludf.DUMMYFUNCTION("""COMPUTED_VALUE"""),"Third person")</f>
        <v>Third person</v>
      </c>
      <c r="I204" s="18" t="str">
        <f>IFERROR(__xludf.DUMMYFUNCTION("""COMPUTED_VALUE"""),"Contemporary")</f>
        <v>Contemporary</v>
      </c>
      <c r="J204" s="18" t="str">
        <f>IFERROR(__xludf.DUMMYFUNCTION("""COMPUTED_VALUE"""),"Enemies-to-lovers (or dislike-to-love), Fake Relationship, Relationship Coach-  (ie; Teach me how to kiss)")</f>
        <v>Enemies-to-lovers (or dislike-to-love), Fake Relationship, Relationship Coach-  (ie; Teach me how to kiss)</v>
      </c>
      <c r="K204" s="18" t="str">
        <f>IFERROR(__xludf.DUMMYFUNCTION("""COMPUTED_VALUE"""),"North America")</f>
        <v>North America</v>
      </c>
      <c r="L204" s="18" t="str">
        <f>IFERROR(__xludf.DUMMYFUNCTION("""COMPUTED_VALUE"""),"Level 3- Sexual content in a few chapters")</f>
        <v>Level 3- Sexual content in a few chapters</v>
      </c>
      <c r="M204" s="18"/>
      <c r="N204" s="18" t="str">
        <f>IFERROR(__xludf.DUMMYFUNCTION("""COMPUTED_VALUE"""),"Standalone (not part of a series)")</f>
        <v>Standalone (not part of a series)</v>
      </c>
      <c r="O204" s="18"/>
      <c r="P204" s="18" t="str">
        <f>IFERROR(__xludf.DUMMYFUNCTION("""COMPUTED_VALUE"""),"Swoon, Cry")</f>
        <v>Swoon, Cry</v>
      </c>
      <c r="Q204" s="18"/>
      <c r="R204" s="19" t="str">
        <f>IFERROR(__xludf.DUMMYFUNCTION("""COMPUTED_VALUE"""),"No")</f>
        <v>No</v>
      </c>
      <c r="S204" s="20" t="str">
        <f>IFERROR(__xludf.DUMMYFUNCTION("""COMPUTED_VALUE"""),"https://www.goodreads.com/book/show/18660750-the-do-over")</f>
        <v>https://www.goodreads.com/book/show/18660750-the-do-over</v>
      </c>
    </row>
    <row r="205">
      <c r="A205" s="16">
        <f>IFERROR(__xludf.DUMMYFUNCTION("""COMPUTED_VALUE"""),44780.98355729167)</f>
        <v>44780.98356</v>
      </c>
      <c r="B205" s="13" t="str">
        <f>IFERROR(__xludf.DUMMYFUNCTION("""COMPUTED_VALUE"""),"Add new entry")</f>
        <v>Add new entry</v>
      </c>
      <c r="C205" s="17" t="str">
        <f>IFERROR(__xludf.DUMMYFUNCTION("""COMPUTED_VALUE"""),"Sunshine and Rain")</f>
        <v>Sunshine and Rain</v>
      </c>
      <c r="D205" s="18" t="str">
        <f>IFERROR(__xludf.DUMMYFUNCTION("""COMPUTED_VALUE"""),"M. Mabie")</f>
        <v>M. Mabie</v>
      </c>
      <c r="E205" s="18" t="str">
        <f>IFERROR(__xludf.DUMMYFUNCTION("""COMPUTED_VALUE"""),"M/F")</f>
        <v>M/F</v>
      </c>
      <c r="F205" s="18"/>
      <c r="G205" s="18"/>
      <c r="H205" s="18" t="str">
        <f>IFERROR(__xludf.DUMMYFUNCTION("""COMPUTED_VALUE"""),"Dual POV")</f>
        <v>Dual POV</v>
      </c>
      <c r="I205" s="18" t="str">
        <f>IFERROR(__xludf.DUMMYFUNCTION("""COMPUTED_VALUE"""),"Contemporary")</f>
        <v>Contemporary</v>
      </c>
      <c r="J205" s="18" t="str">
        <f>IFERROR(__xludf.DUMMYFUNCTION("""COMPUTED_VALUE"""),"Age Difference, Blue Collar/Farmer/Rancher etc, Geek/Nerd/Misfit/Genius, Small Town, Sweet MC- beta hero/kindhearted heroine/etc")</f>
        <v>Age Difference, Blue Collar/Farmer/Rancher etc, Geek/Nerd/Misfit/Genius, Small Town, Sweet MC- beta hero/kindhearted heroine/etc</v>
      </c>
      <c r="K205" s="18"/>
      <c r="L205" s="18" t="str">
        <f>IFERROR(__xludf.DUMMYFUNCTION("""COMPUTED_VALUE"""),"Level 3- Sexual content in a few chapters")</f>
        <v>Level 3- Sexual content in a few chapters</v>
      </c>
      <c r="M205" s="18"/>
      <c r="N205" s="18" t="str">
        <f>IFERROR(__xludf.DUMMYFUNCTION("""COMPUTED_VALUE"""),"Series- can be read as standalones")</f>
        <v>Series- can be read as standalones</v>
      </c>
      <c r="O205" s="18" t="str">
        <f>IFERROR(__xludf.DUMMYFUNCTION("""COMPUTED_VALUE"""),"City Limits #2")</f>
        <v>City Limits #2</v>
      </c>
      <c r="P205" s="18" t="str">
        <f>IFERROR(__xludf.DUMMYFUNCTION("""COMPUTED_VALUE"""),"Feel feels, Dream")</f>
        <v>Feel feels, Dream</v>
      </c>
      <c r="Q205" s="18"/>
      <c r="R205" s="19" t="str">
        <f>IFERROR(__xludf.DUMMYFUNCTION("""COMPUTED_VALUE"""),"No")</f>
        <v>No</v>
      </c>
      <c r="S205" s="20" t="str">
        <f>IFERROR(__xludf.DUMMYFUNCTION("""COMPUTED_VALUE"""),"https://www.goodreads.com/book/show/42110750-sunshine-and-rain")</f>
        <v>https://www.goodreads.com/book/show/42110750-sunshine-and-rain</v>
      </c>
    </row>
    <row r="206">
      <c r="A206" s="16">
        <f>IFERROR(__xludf.DUMMYFUNCTION("""COMPUTED_VALUE"""),44780.988334131944)</f>
        <v>44780.98833</v>
      </c>
      <c r="B206" s="13" t="str">
        <f>IFERROR(__xludf.DUMMYFUNCTION("""COMPUTED_VALUE"""),"Add new entry")</f>
        <v>Add new entry</v>
      </c>
      <c r="C206" s="17" t="str">
        <f>IFERROR(__xludf.DUMMYFUNCTION("""COMPUTED_VALUE"""),"One Christmas Star")</f>
        <v>One Christmas Star</v>
      </c>
      <c r="D206" s="18" t="str">
        <f>IFERROR(__xludf.DUMMYFUNCTION("""COMPUTED_VALUE"""),"Mandy Baggot")</f>
        <v>Mandy Baggot</v>
      </c>
      <c r="E206" s="18" t="str">
        <f>IFERROR(__xludf.DUMMYFUNCTION("""COMPUTED_VALUE"""),"M/F")</f>
        <v>M/F</v>
      </c>
      <c r="F206" s="18"/>
      <c r="G206" s="18"/>
      <c r="H206" s="18" t="str">
        <f>IFERROR(__xludf.DUMMYFUNCTION("""COMPUTED_VALUE"""),"Dual POV, Third person")</f>
        <v>Dual POV, Third person</v>
      </c>
      <c r="I206" s="18" t="str">
        <f>IFERROR(__xludf.DUMMYFUNCTION("""COMPUTED_VALUE"""),"Contemporary, Romantic Comedy")</f>
        <v>Contemporary, Romantic Comedy</v>
      </c>
      <c r="J206" s="18" t="str">
        <f>IFERROR(__xludf.DUMMYFUNCTION("""COMPUTED_VALUE"""),"Ordinary MC- Average looks or career, Romance Adjacent, Sweet MC- beta hero/kindhearted heroine/etc, Teacher/Writer/Librarian")</f>
        <v>Ordinary MC- Average looks or career, Romance Adjacent, Sweet MC- beta hero/kindhearted heroine/etc, Teacher/Writer/Librarian</v>
      </c>
      <c r="K206" s="18"/>
      <c r="L206" s="18" t="str">
        <f>IFERROR(__xludf.DUMMYFUNCTION("""COMPUTED_VALUE"""),"Level 2- Kisses and foreplay, everything else closed door")</f>
        <v>Level 2- Kisses and foreplay, everything else closed door</v>
      </c>
      <c r="M206" s="18"/>
      <c r="N206" s="18" t="str">
        <f>IFERROR(__xludf.DUMMYFUNCTION("""COMPUTED_VALUE"""),"Standalone (not part of a series)")</f>
        <v>Standalone (not part of a series)</v>
      </c>
      <c r="O206" s="18"/>
      <c r="P206" s="18" t="str">
        <f>IFERROR(__xludf.DUMMYFUNCTION("""COMPUTED_VALUE"""),"Swoon, Laugh, Feel feels, Dream")</f>
        <v>Swoon, Laugh, Feel feels, Dream</v>
      </c>
      <c r="Q206" s="18" t="str">
        <f>IFERROR(__xludf.DUMMYFUNCTION("""COMPUTED_VALUE"""),"Emotional abuse (in ex-relationship)")</f>
        <v>Emotional abuse (in ex-relationship)</v>
      </c>
      <c r="R206" s="19" t="str">
        <f>IFERROR(__xludf.DUMMYFUNCTION("""COMPUTED_VALUE"""),"No")</f>
        <v>No</v>
      </c>
      <c r="S206" s="20" t="str">
        <f>IFERROR(__xludf.DUMMYFUNCTION("""COMPUTED_VALUE"""),"https://www.goodreads.com/en/book/show/44105905")</f>
        <v>https://www.goodreads.com/en/book/show/44105905</v>
      </c>
    </row>
    <row r="207">
      <c r="A207" s="16">
        <f>IFERROR(__xludf.DUMMYFUNCTION("""COMPUTED_VALUE"""),44780.99006502314)</f>
        <v>44780.99007</v>
      </c>
      <c r="B207" s="13" t="str">
        <f>IFERROR(__xludf.DUMMYFUNCTION("""COMPUTED_VALUE"""),"Add new entry")</f>
        <v>Add new entry</v>
      </c>
      <c r="C207" s="17" t="str">
        <f>IFERROR(__xludf.DUMMYFUNCTION("""COMPUTED_VALUE"""),"From Lukov With Love")</f>
        <v>From Lukov With Love</v>
      </c>
      <c r="D207" s="18" t="str">
        <f>IFERROR(__xludf.DUMMYFUNCTION("""COMPUTED_VALUE"""),"Mariana Zapata")</f>
        <v>Mariana Zapata</v>
      </c>
      <c r="E207" s="18" t="str">
        <f>IFERROR(__xludf.DUMMYFUNCTION("""COMPUTED_VALUE"""),"M/F")</f>
        <v>M/F</v>
      </c>
      <c r="F207" s="18"/>
      <c r="G207" s="18"/>
      <c r="H207" s="18" t="str">
        <f>IFERROR(__xludf.DUMMYFUNCTION("""COMPUTED_VALUE"""),"Single POV")</f>
        <v>Single POV</v>
      </c>
      <c r="I207" s="18" t="str">
        <f>IFERROR(__xludf.DUMMYFUNCTION("""COMPUTED_VALUE"""),"Contemporary, Sports Romance")</f>
        <v>Contemporary, Sports Romance</v>
      </c>
      <c r="J207" s="18" t="str">
        <f>IFERROR(__xludf.DUMMYFUNCTION("""COMPUTED_VALUE"""),"Coworkers or Colleagues, Enemies-to-lovers (or dislike-to-love), Forced Proximity, Slow Burn")</f>
        <v>Coworkers or Colleagues, Enemies-to-lovers (or dislike-to-love), Forced Proximity, Slow Burn</v>
      </c>
      <c r="K207" s="18"/>
      <c r="L207" s="18" t="str">
        <f>IFERROR(__xludf.DUMMYFUNCTION("""COMPUTED_VALUE"""),"Level 3- Sexual content in a few chapters")</f>
        <v>Level 3- Sexual content in a few chapters</v>
      </c>
      <c r="M207" s="18"/>
      <c r="N207" s="18" t="str">
        <f>IFERROR(__xludf.DUMMYFUNCTION("""COMPUTED_VALUE"""),"Standalone (not part of a series)")</f>
        <v>Standalone (not part of a series)</v>
      </c>
      <c r="O207" s="18"/>
      <c r="P207" s="18" t="str">
        <f>IFERROR(__xludf.DUMMYFUNCTION("""COMPUTED_VALUE"""),"Swoon, Laugh, Feel feels")</f>
        <v>Swoon, Laugh, Feel feels</v>
      </c>
      <c r="Q207" s="18" t="str">
        <f>IFERROR(__xludf.DUMMYFUNCTION("""COMPUTED_VALUE"""),"Previous stalking incidents")</f>
        <v>Previous stalking incidents</v>
      </c>
      <c r="R207" s="19" t="str">
        <f>IFERROR(__xludf.DUMMYFUNCTION("""COMPUTED_VALUE"""),"No")</f>
        <v>No</v>
      </c>
      <c r="S207" s="20" t="str">
        <f>IFERROR(__xludf.DUMMYFUNCTION("""COMPUTED_VALUE"""),"https://www.goodreads.com/book/show/37683751-from-lukov-with-love")</f>
        <v>https://www.goodreads.com/book/show/37683751-from-lukov-with-love</v>
      </c>
    </row>
    <row r="208">
      <c r="A208" s="16">
        <f>IFERROR(__xludf.DUMMYFUNCTION("""COMPUTED_VALUE"""),44780.99169596065)</f>
        <v>44780.9917</v>
      </c>
      <c r="B208" s="13" t="str">
        <f>IFERROR(__xludf.DUMMYFUNCTION("""COMPUTED_VALUE"""),"Add new entry")</f>
        <v>Add new entry</v>
      </c>
      <c r="C208" s="17" t="str">
        <f>IFERROR(__xludf.DUMMYFUNCTION("""COMPUTED_VALUE"""),"Luna and the Lie")</f>
        <v>Luna and the Lie</v>
      </c>
      <c r="D208" s="18" t="str">
        <f>IFERROR(__xludf.DUMMYFUNCTION("""COMPUTED_VALUE"""),"Mariana Zapata")</f>
        <v>Mariana Zapata</v>
      </c>
      <c r="E208" s="18" t="str">
        <f>IFERROR(__xludf.DUMMYFUNCTION("""COMPUTED_VALUE"""),"M/F")</f>
        <v>M/F</v>
      </c>
      <c r="F208" s="18"/>
      <c r="G208" s="18"/>
      <c r="H208" s="18" t="str">
        <f>IFERROR(__xludf.DUMMYFUNCTION("""COMPUTED_VALUE"""),"Single POV")</f>
        <v>Single POV</v>
      </c>
      <c r="I208" s="18" t="str">
        <f>IFERROR(__xludf.DUMMYFUNCTION("""COMPUTED_VALUE"""),"Contemporary")</f>
        <v>Contemporary</v>
      </c>
      <c r="J208" s="18" t="str">
        <f>IFERROR(__xludf.DUMMYFUNCTION("""COMPUTED_VALUE"""),"Age Difference, Blue Collar/Farmer/Rancher etc, Coworkers or Colleagues, Friends-to-lovers, Slow Burn, Sweet MC- beta hero/kindhearted heroine/etc, Tattoos &amp; Piercings")</f>
        <v>Age Difference, Blue Collar/Farmer/Rancher etc, Coworkers or Colleagues, Friends-to-lovers, Slow Burn, Sweet MC- beta hero/kindhearted heroine/etc, Tattoos &amp; Piercings</v>
      </c>
      <c r="K208" s="18"/>
      <c r="L208" s="18" t="str">
        <f>IFERROR(__xludf.DUMMYFUNCTION("""COMPUTED_VALUE"""),"Level 3- Sexual content in a few chapters")</f>
        <v>Level 3- Sexual content in a few chapters</v>
      </c>
      <c r="M208" s="18"/>
      <c r="N208" s="18" t="str">
        <f>IFERROR(__xludf.DUMMYFUNCTION("""COMPUTED_VALUE"""),"Standalone (not part of a series)")</f>
        <v>Standalone (not part of a series)</v>
      </c>
      <c r="O208" s="18"/>
      <c r="P208" s="18" t="str">
        <f>IFERROR(__xludf.DUMMYFUNCTION("""COMPUTED_VALUE"""),"Swoon")</f>
        <v>Swoon</v>
      </c>
      <c r="Q208" s="18"/>
      <c r="R208" s="19" t="str">
        <f>IFERROR(__xludf.DUMMYFUNCTION("""COMPUTED_VALUE"""),"No")</f>
        <v>No</v>
      </c>
      <c r="S208" s="20" t="str">
        <f>IFERROR(__xludf.DUMMYFUNCTION("""COMPUTED_VALUE"""),"https://www.goodreads.com/book/show/42883009-luna-and-the-lie")</f>
        <v>https://www.goodreads.com/book/show/42883009-luna-and-the-lie</v>
      </c>
    </row>
    <row r="209">
      <c r="A209" s="16">
        <f>IFERROR(__xludf.DUMMYFUNCTION("""COMPUTED_VALUE"""),44780.99348763889)</f>
        <v>44780.99349</v>
      </c>
      <c r="B209" s="13" t="str">
        <f>IFERROR(__xludf.DUMMYFUNCTION("""COMPUTED_VALUE"""),"Add new entry")</f>
        <v>Add new entry</v>
      </c>
      <c r="C209" s="17" t="str">
        <f>IFERROR(__xludf.DUMMYFUNCTION("""COMPUTED_VALUE"""),"The Wall of Winnipeg and Me")</f>
        <v>The Wall of Winnipeg and Me</v>
      </c>
      <c r="D209" s="18" t="str">
        <f>IFERROR(__xludf.DUMMYFUNCTION("""COMPUTED_VALUE"""),"Mariana Zapata")</f>
        <v>Mariana Zapata</v>
      </c>
      <c r="E209" s="18" t="str">
        <f>IFERROR(__xludf.DUMMYFUNCTION("""COMPUTED_VALUE"""),"M/F")</f>
        <v>M/F</v>
      </c>
      <c r="F209" s="18"/>
      <c r="G209" s="18"/>
      <c r="H209" s="18" t="str">
        <f>IFERROR(__xludf.DUMMYFUNCTION("""COMPUTED_VALUE"""),"Single POV, First person")</f>
        <v>Single POV, First person</v>
      </c>
      <c r="I209" s="18" t="str">
        <f>IFERROR(__xludf.DUMMYFUNCTION("""COMPUTED_VALUE"""),"Contemporary, Sports Romance")</f>
        <v>Contemporary, Sports Romance</v>
      </c>
      <c r="J209" s="18" t="str">
        <f>IFERROR(__xludf.DUMMYFUNCTION("""COMPUTED_VALUE"""),"Enemies-to-lovers (or dislike-to-love), Fake Relationship, Forced Proximity, Marriage of Convenience (or arranged marriage)")</f>
        <v>Enemies-to-lovers (or dislike-to-love), Fake Relationship, Forced Proximity, Marriage of Convenience (or arranged marriage)</v>
      </c>
      <c r="K209" s="18"/>
      <c r="L209" s="18" t="str">
        <f>IFERROR(__xludf.DUMMYFUNCTION("""COMPUTED_VALUE"""),"Level 3- Sexual content in a few chapters")</f>
        <v>Level 3- Sexual content in a few chapters</v>
      </c>
      <c r="M209" s="18"/>
      <c r="N209" s="18" t="str">
        <f>IFERROR(__xludf.DUMMYFUNCTION("""COMPUTED_VALUE"""),"Standalone (not part of a series)")</f>
        <v>Standalone (not part of a series)</v>
      </c>
      <c r="O209" s="18"/>
      <c r="P209" s="18" t="str">
        <f>IFERROR(__xludf.DUMMYFUNCTION("""COMPUTED_VALUE"""),"Swoon, Tingle, Feel feels, Smolder")</f>
        <v>Swoon, Tingle, Feel feels, Smolder</v>
      </c>
      <c r="Q209" s="18"/>
      <c r="R209" s="19" t="str">
        <f>IFERROR(__xludf.DUMMYFUNCTION("""COMPUTED_VALUE"""),"No")</f>
        <v>No</v>
      </c>
      <c r="S209" s="20" t="str">
        <f>IFERROR(__xludf.DUMMYFUNCTION("""COMPUTED_VALUE"""),"https://www.goodreads.com/book/show/29367958-the-wall-of-winnipeg-and-me")</f>
        <v>https://www.goodreads.com/book/show/29367958-the-wall-of-winnipeg-and-me</v>
      </c>
    </row>
    <row r="210">
      <c r="A210" s="16">
        <f>IFERROR(__xludf.DUMMYFUNCTION("""COMPUTED_VALUE"""),44780.99496964121)</f>
        <v>44780.99497</v>
      </c>
      <c r="B210" s="13" t="str">
        <f>IFERROR(__xludf.DUMMYFUNCTION("""COMPUTED_VALUE"""),"Add new entry")</f>
        <v>Add new entry</v>
      </c>
      <c r="C210" s="17" t="str">
        <f>IFERROR(__xludf.DUMMYFUNCTION("""COMPUTED_VALUE"""),"Wait For It")</f>
        <v>Wait For It</v>
      </c>
      <c r="D210" s="18" t="str">
        <f>IFERROR(__xludf.DUMMYFUNCTION("""COMPUTED_VALUE"""),"Mariana Zapata")</f>
        <v>Mariana Zapata</v>
      </c>
      <c r="E210" s="18" t="str">
        <f>IFERROR(__xludf.DUMMYFUNCTION("""COMPUTED_VALUE"""),"M/F")</f>
        <v>M/F</v>
      </c>
      <c r="F210" s="18"/>
      <c r="G210" s="18"/>
      <c r="H210" s="18" t="str">
        <f>IFERROR(__xludf.DUMMYFUNCTION("""COMPUTED_VALUE"""),"Single POV")</f>
        <v>Single POV</v>
      </c>
      <c r="I210" s="18" t="str">
        <f>IFERROR(__xludf.DUMMYFUNCTION("""COMPUTED_VALUE"""),"Contemporary")</f>
        <v>Contemporary</v>
      </c>
      <c r="J210" s="18" t="str">
        <f>IFERROR(__xludf.DUMMYFUNCTION("""COMPUTED_VALUE"""),"Age Difference, Caretaker/Nanny/Governess, Enemies-to-lovers (or dislike-to-love), Hurt/Comfort, Neighbors-to-lovers, Ordinary MC- Average looks or career, Single Parent, Slow Burn")</f>
        <v>Age Difference, Caretaker/Nanny/Governess, Enemies-to-lovers (or dislike-to-love), Hurt/Comfort, Neighbors-to-lovers, Ordinary MC- Average looks or career, Single Parent, Slow Burn</v>
      </c>
      <c r="K210" s="18"/>
      <c r="L210" s="18" t="str">
        <f>IFERROR(__xludf.DUMMYFUNCTION("""COMPUTED_VALUE"""),"Level 3- Sexual content in a few chapters")</f>
        <v>Level 3- Sexual content in a few chapters</v>
      </c>
      <c r="M210" s="18"/>
      <c r="N210" s="18" t="str">
        <f>IFERROR(__xludf.DUMMYFUNCTION("""COMPUTED_VALUE"""),"Standalone (not part of a series)")</f>
        <v>Standalone (not part of a series)</v>
      </c>
      <c r="O210" s="18"/>
      <c r="P210" s="18" t="str">
        <f>IFERROR(__xludf.DUMMYFUNCTION("""COMPUTED_VALUE"""),"Swoon, Laugh, Cry, Feel feels")</f>
        <v>Swoon, Laugh, Cry, Feel feels</v>
      </c>
      <c r="Q210" s="18" t="str">
        <f>IFERROR(__xludf.DUMMYFUNCTION("""COMPUTED_VALUE"""),"Previous physical abuse, death of sibling, suicide/overdose")</f>
        <v>Previous physical abuse, death of sibling, suicide/overdose</v>
      </c>
      <c r="R210" s="19" t="str">
        <f>IFERROR(__xludf.DUMMYFUNCTION("""COMPUTED_VALUE"""),"No")</f>
        <v>No</v>
      </c>
      <c r="S210" s="20" t="str">
        <f>IFERROR(__xludf.DUMMYFUNCTION("""COMPUTED_VALUE"""),"https://www.goodreads.com/book/show/33288638-wait-for-it")</f>
        <v>https://www.goodreads.com/book/show/33288638-wait-for-it</v>
      </c>
    </row>
    <row r="211">
      <c r="A211" s="16">
        <f>IFERROR(__xludf.DUMMYFUNCTION("""COMPUTED_VALUE"""),44781.471183194444)</f>
        <v>44781.47118</v>
      </c>
      <c r="B211" s="13" t="str">
        <f>IFERROR(__xludf.DUMMYFUNCTION("""COMPUTED_VALUE"""),"Add new entry")</f>
        <v>Add new entry</v>
      </c>
      <c r="C211" s="17" t="str">
        <f>IFERROR(__xludf.DUMMYFUNCTION("""COMPUTED_VALUE"""),"Sex Says")</f>
        <v>Sex Says</v>
      </c>
      <c r="D211" s="18" t="str">
        <f>IFERROR(__xludf.DUMMYFUNCTION("""COMPUTED_VALUE"""),"Max Monroe")</f>
        <v>Max Monroe</v>
      </c>
      <c r="E211" s="18" t="str">
        <f>IFERROR(__xludf.DUMMYFUNCTION("""COMPUTED_VALUE"""),"M/F")</f>
        <v>M/F</v>
      </c>
      <c r="F211" s="18"/>
      <c r="G211" s="18"/>
      <c r="H211" s="18" t="str">
        <f>IFERROR(__xludf.DUMMYFUNCTION("""COMPUTED_VALUE"""),"Dual POV")</f>
        <v>Dual POV</v>
      </c>
      <c r="I211" s="18" t="str">
        <f>IFERROR(__xludf.DUMMYFUNCTION("""COMPUTED_VALUE"""),"Contemporary")</f>
        <v>Contemporary</v>
      </c>
      <c r="J211" s="18" t="str">
        <f>IFERROR(__xludf.DUMMYFUNCTION("""COMPUTED_VALUE"""),"Enemies-to-lovers (or dislike-to-love), Geek/Nerd/Misfit/Genius, Slow Burn")</f>
        <v>Enemies-to-lovers (or dislike-to-love), Geek/Nerd/Misfit/Genius, Slow Burn</v>
      </c>
      <c r="K211" s="18"/>
      <c r="L211" s="18" t="str">
        <f>IFERROR(__xludf.DUMMYFUNCTION("""COMPUTED_VALUE"""),"Level 3- Sexual content in a few chapters")</f>
        <v>Level 3- Sexual content in a few chapters</v>
      </c>
      <c r="M211" s="18"/>
      <c r="N211" s="18" t="str">
        <f>IFERROR(__xludf.DUMMYFUNCTION("""COMPUTED_VALUE"""),"Standalone (not part of a series)")</f>
        <v>Standalone (not part of a series)</v>
      </c>
      <c r="O211" s="18"/>
      <c r="P211" s="18" t="str">
        <f>IFERROR(__xludf.DUMMYFUNCTION("""COMPUTED_VALUE"""),"Swoon, Laugh, Smolder")</f>
        <v>Swoon, Laugh, Smolder</v>
      </c>
      <c r="Q211" s="18"/>
      <c r="R211" s="19" t="str">
        <f>IFERROR(__xludf.DUMMYFUNCTION("""COMPUTED_VALUE"""),"No")</f>
        <v>No</v>
      </c>
      <c r="S211" s="20" t="str">
        <f>IFERROR(__xludf.DUMMYFUNCTION("""COMPUTED_VALUE"""),"https://www.goodreads.com/book/show/33397807-sex-says")</f>
        <v>https://www.goodreads.com/book/show/33397807-sex-says</v>
      </c>
    </row>
    <row r="212">
      <c r="A212" s="16">
        <f>IFERROR(__xludf.DUMMYFUNCTION("""COMPUTED_VALUE"""),44781.47269836805)</f>
        <v>44781.4727</v>
      </c>
      <c r="B212" s="13" t="str">
        <f>IFERROR(__xludf.DUMMYFUNCTION("""COMPUTED_VALUE"""),"Add new entry")</f>
        <v>Add new entry</v>
      </c>
      <c r="C212" s="17" t="str">
        <f>IFERROR(__xludf.DUMMYFUNCTION("""COMPUTED_VALUE"""),"Frenched")</f>
        <v>Frenched</v>
      </c>
      <c r="D212" s="18" t="str">
        <f>IFERROR(__xludf.DUMMYFUNCTION("""COMPUTED_VALUE"""),"Melanie Harlow")</f>
        <v>Melanie Harlow</v>
      </c>
      <c r="E212" s="18" t="str">
        <f>IFERROR(__xludf.DUMMYFUNCTION("""COMPUTED_VALUE"""),"M/F")</f>
        <v>M/F</v>
      </c>
      <c r="F212" s="18"/>
      <c r="G212" s="18"/>
      <c r="H212" s="18" t="str">
        <f>IFERROR(__xludf.DUMMYFUNCTION("""COMPUTED_VALUE"""),"Single POV, First person")</f>
        <v>Single POV, First person</v>
      </c>
      <c r="I212" s="18" t="str">
        <f>IFERROR(__xludf.DUMMYFUNCTION("""COMPUTED_VALUE"""),"Contemporary, Erotic Romance")</f>
        <v>Contemporary, Erotic Romance</v>
      </c>
      <c r="J212" s="18" t="str">
        <f>IFERROR(__xludf.DUMMYFUNCTION("""COMPUTED_VALUE"""),"Hurt/Comfort, Opposites Attract")</f>
        <v>Hurt/Comfort, Opposites Attract</v>
      </c>
      <c r="K212" s="18"/>
      <c r="L212" s="18" t="str">
        <f>IFERROR(__xludf.DUMMYFUNCTION("""COMPUTED_VALUE"""),"Level 5- My Kindle melted, primarily erotica")</f>
        <v>Level 5- My Kindle melted, primarily erotica</v>
      </c>
      <c r="M212" s="18"/>
      <c r="N212" s="18"/>
      <c r="O212" s="18" t="str">
        <f>IFERROR(__xludf.DUMMYFUNCTION("""COMPUTED_VALUE"""),"Frenched #1")</f>
        <v>Frenched #1</v>
      </c>
      <c r="P212" s="18" t="str">
        <f>IFERROR(__xludf.DUMMYFUNCTION("""COMPUTED_VALUE"""),"Swoon, Feel feels, Inspired")</f>
        <v>Swoon, Feel feels, Inspired</v>
      </c>
      <c r="Q212" s="18"/>
      <c r="R212" s="19" t="str">
        <f>IFERROR(__xludf.DUMMYFUNCTION("""COMPUTED_VALUE"""),"No")</f>
        <v>No</v>
      </c>
      <c r="S212" s="20" t="str">
        <f>IFERROR(__xludf.DUMMYFUNCTION("""COMPUTED_VALUE"""),"https://www.goodreads.com/book/show/21474459-frenched")</f>
        <v>https://www.goodreads.com/book/show/21474459-frenched</v>
      </c>
    </row>
    <row r="213">
      <c r="A213" s="16">
        <f>IFERROR(__xludf.DUMMYFUNCTION("""COMPUTED_VALUE"""),44781.47468150463)</f>
        <v>44781.47468</v>
      </c>
      <c r="B213" s="13" t="str">
        <f>IFERROR(__xludf.DUMMYFUNCTION("""COMPUTED_VALUE"""),"Add new entry")</f>
        <v>Add new entry</v>
      </c>
      <c r="C213" s="17" t="str">
        <f>IFERROR(__xludf.DUMMYFUNCTION("""COMPUTED_VALUE"""),"Bentley")</f>
        <v>Bentley</v>
      </c>
      <c r="D213" s="18" t="str">
        <f>IFERROR(__xludf.DUMMYFUNCTION("""COMPUTED_VALUE"""),"Melanie Moreland")</f>
        <v>Melanie Moreland</v>
      </c>
      <c r="E213" s="18" t="str">
        <f>IFERROR(__xludf.DUMMYFUNCTION("""COMPUTED_VALUE"""),"M/F")</f>
        <v>M/F</v>
      </c>
      <c r="F213" s="18"/>
      <c r="G213" s="18"/>
      <c r="H213" s="18"/>
      <c r="I213" s="18" t="str">
        <f>IFERROR(__xludf.DUMMYFUNCTION("""COMPUTED_VALUE"""),"Contemporary")</f>
        <v>Contemporary</v>
      </c>
      <c r="J213" s="18" t="str">
        <f>IFERROR(__xludf.DUMMYFUNCTION("""COMPUTED_VALUE"""),"Billionaires/Millionaires/Gazillionaires etc, Class Differences, Insta-lust/Insta-love/Insta-coffee")</f>
        <v>Billionaires/Millionaires/Gazillionaires etc, Class Differences, Insta-lust/Insta-love/Insta-coffee</v>
      </c>
      <c r="K213" s="18"/>
      <c r="L213" s="18" t="str">
        <f>IFERROR(__xludf.DUMMYFUNCTION("""COMPUTED_VALUE"""),"Level 3- Sexual content in a few chapters")</f>
        <v>Level 3- Sexual content in a few chapters</v>
      </c>
      <c r="M213" s="18"/>
      <c r="N213" s="18"/>
      <c r="O213" s="18" t="str">
        <f>IFERROR(__xludf.DUMMYFUNCTION("""COMPUTED_VALUE"""),"Vested Interest #1")</f>
        <v>Vested Interest #1</v>
      </c>
      <c r="P213" s="18" t="str">
        <f>IFERROR(__xludf.DUMMYFUNCTION("""COMPUTED_VALUE"""),"Tingle, Smolder, Scared")</f>
        <v>Tingle, Smolder, Scared</v>
      </c>
      <c r="Q213" s="18" t="str">
        <f>IFERROR(__xludf.DUMMYFUNCTION("""COMPUTED_VALUE"""),"Kidnapping, Male mc has sad past.")</f>
        <v>Kidnapping, Male mc has sad past.</v>
      </c>
      <c r="R213" s="19" t="str">
        <f>IFERROR(__xludf.DUMMYFUNCTION("""COMPUTED_VALUE"""),"No")</f>
        <v>No</v>
      </c>
      <c r="S213" s="20" t="str">
        <f>IFERROR(__xludf.DUMMYFUNCTION("""COMPUTED_VALUE"""),"https://www.goodreads.com/book/show/36889238-bentley")</f>
        <v>https://www.goodreads.com/book/show/36889238-bentley</v>
      </c>
    </row>
    <row r="214">
      <c r="A214" s="16">
        <f>IFERROR(__xludf.DUMMYFUNCTION("""COMPUTED_VALUE"""),44781.47620457176)</f>
        <v>44781.4762</v>
      </c>
      <c r="B214" s="13" t="str">
        <f>IFERROR(__xludf.DUMMYFUNCTION("""COMPUTED_VALUE"""),"Add new entry")</f>
        <v>Add new entry</v>
      </c>
      <c r="C214" s="17" t="str">
        <f>IFERROR(__xludf.DUMMYFUNCTION("""COMPUTED_VALUE"""),"Over The Fence")</f>
        <v>Over The Fence</v>
      </c>
      <c r="D214" s="18" t="str">
        <f>IFERROR(__xludf.DUMMYFUNCTION("""COMPUTED_VALUE"""),"Melanie Moreland")</f>
        <v>Melanie Moreland</v>
      </c>
      <c r="E214" s="18" t="str">
        <f>IFERROR(__xludf.DUMMYFUNCTION("""COMPUTED_VALUE"""),"M/F")</f>
        <v>M/F</v>
      </c>
      <c r="F214" s="18"/>
      <c r="G214" s="18"/>
      <c r="H214" s="18"/>
      <c r="I214" s="18" t="str">
        <f>IFERROR(__xludf.DUMMYFUNCTION("""COMPUTED_VALUE"""),"Contemporary, Romantic Comedy")</f>
        <v>Contemporary, Romantic Comedy</v>
      </c>
      <c r="J214" s="18" t="str">
        <f>IFERROR(__xludf.DUMMYFUNCTION("""COMPUTED_VALUE"""),"Geek/Nerd/Misfit/Genius, Loner/Isolated, Neighbors-to-lovers, Slow Burn")</f>
        <v>Geek/Nerd/Misfit/Genius, Loner/Isolated, Neighbors-to-lovers, Slow Burn</v>
      </c>
      <c r="K214" s="18"/>
      <c r="L214" s="18" t="str">
        <f>IFERROR(__xludf.DUMMYFUNCTION("""COMPUTED_VALUE"""),"Level 2- Kisses and foreplay, everything else closed door")</f>
        <v>Level 2- Kisses and foreplay, everything else closed door</v>
      </c>
      <c r="M214" s="18"/>
      <c r="N214" s="18" t="str">
        <f>IFERROR(__xludf.DUMMYFUNCTION("""COMPUTED_VALUE"""),"Standalone (not part of a series)")</f>
        <v>Standalone (not part of a series)</v>
      </c>
      <c r="O214" s="18"/>
      <c r="P214" s="18" t="str">
        <f>IFERROR(__xludf.DUMMYFUNCTION("""COMPUTED_VALUE"""),"Swoon, Laugh, Feel feels, Inspired")</f>
        <v>Swoon, Laugh, Feel feels, Inspired</v>
      </c>
      <c r="Q214" s="18" t="str">
        <f>IFERROR(__xludf.DUMMYFUNCTION("""COMPUTED_VALUE"""),"Fat shaming, bad family situation, ")</f>
        <v>Fat shaming, bad family situation, </v>
      </c>
      <c r="R214" s="19" t="str">
        <f>IFERROR(__xludf.DUMMYFUNCTION("""COMPUTED_VALUE"""),"No")</f>
        <v>No</v>
      </c>
      <c r="S214" s="20" t="str">
        <f>IFERROR(__xludf.DUMMYFUNCTION("""COMPUTED_VALUE"""),"https://www.goodreads.com/book/show/44036410-over-the-fence")</f>
        <v>https://www.goodreads.com/book/show/44036410-over-the-fence</v>
      </c>
    </row>
    <row r="215">
      <c r="A215" s="16">
        <f>IFERROR(__xludf.DUMMYFUNCTION("""COMPUTED_VALUE"""),45096.386549282404)</f>
        <v>45096.38655</v>
      </c>
      <c r="B215" s="13" t="str">
        <f>IFERROR(__xludf.DUMMYFUNCTION("""COMPUTED_VALUE"""),"Add new entry")</f>
        <v>Add new entry</v>
      </c>
      <c r="C215" s="17" t="str">
        <f>IFERROR(__xludf.DUMMYFUNCTION("""COMPUTED_VALUE"""),"The Pact - The Preacher’s Daughter ")</f>
        <v>The Pact - The Preacher’s Daughter </v>
      </c>
      <c r="D215" s="18" t="str">
        <f>IFERROR(__xludf.DUMMYFUNCTION("""COMPUTED_VALUE"""),"Melissa Adams ")</f>
        <v>Melissa Adams </v>
      </c>
      <c r="E215" s="18" t="str">
        <f>IFERROR(__xludf.DUMMYFUNCTION("""COMPUTED_VALUE"""),"FMMMM")</f>
        <v>FMMMM</v>
      </c>
      <c r="F215" s="18" t="str">
        <f>IFERROR(__xludf.DUMMYFUNCTION("""COMPUTED_VALUE"""),"Religious Minorities")</f>
        <v>Religious Minorities</v>
      </c>
      <c r="G215" s="18"/>
      <c r="H215" s="18" t="str">
        <f>IFERROR(__xludf.DUMMYFUNCTION("""COMPUTED_VALUE"""),"First person")</f>
        <v>First person</v>
      </c>
      <c r="I215" s="18" t="str">
        <f>IFERROR(__xludf.DUMMYFUNCTION("""COMPUTED_VALUE"""),"Contemporary, Dark, Romantic Suspense")</f>
        <v>Contemporary, Dark, Romantic Suspense</v>
      </c>
      <c r="J215" s="18" t="str">
        <f>IFERROR(__xludf.DUMMYFUNCTION("""COMPUTED_VALUE"""),"Escape from cult ")</f>
        <v>Escape from cult </v>
      </c>
      <c r="K215" s="18" t="str">
        <f>IFERROR(__xludf.DUMMYFUNCTION("""COMPUTED_VALUE"""),"North America")</f>
        <v>North America</v>
      </c>
      <c r="L215" s="18" t="str">
        <f>IFERROR(__xludf.DUMMYFUNCTION("""COMPUTED_VALUE"""),"Level 5- My Kindle melted, primarily erotica")</f>
        <v>Level 5- My Kindle melted, primarily erotica</v>
      </c>
      <c r="M215" s="18" t="str">
        <f>IFERROR(__xludf.DUMMYFUNCTION("""COMPUTED_VALUE"""),"Anal sex, Oral sex - cunnilingus, Oral sex - fellatio, PIV sex (penis in vagina)")</f>
        <v>Anal sex, Oral sex - cunnilingus, Oral sex - fellatio, PIV sex (penis in vagina)</v>
      </c>
      <c r="N215" s="18" t="str">
        <f>IFERROR(__xludf.DUMMYFUNCTION("""COMPUTED_VALUE"""),"Series- can be read as standalones")</f>
        <v>Series- can be read as standalones</v>
      </c>
      <c r="O215" s="18" t="str">
        <f>IFERROR(__xludf.DUMMYFUNCTION("""COMPUTED_VALUE"""),"Book #2 is Twisted Sinners The Preacher’s Wife ")</f>
        <v>Book #2 is Twisted Sinners The Preacher’s Wife </v>
      </c>
      <c r="P215" s="18" t="str">
        <f>IFERROR(__xludf.DUMMYFUNCTION("""COMPUTED_VALUE"""),"Tingle, Rage, Feel feels")</f>
        <v>Tingle, Rage, Feel feels</v>
      </c>
      <c r="Q215" s="18" t="str">
        <f>IFERROR(__xludf.DUMMYFUNCTION("""COMPUTED_VALUE"""),"Super Crazy Religious Trauma - Standing up to the patriarchy. ")</f>
        <v>Super Crazy Religious Trauma - Standing up to the patriarchy. </v>
      </c>
      <c r="R215" s="19" t="str">
        <f>IFERROR(__xludf.DUMMYFUNCTION("""COMPUTED_VALUE"""),"No")</f>
        <v>No</v>
      </c>
      <c r="S215" s="20" t="str">
        <f>IFERROR(__xludf.DUMMYFUNCTION("""COMPUTED_VALUE"""),"https://www.goodreads.com/book/show/56794221")</f>
        <v>https://www.goodreads.com/book/show/56794221</v>
      </c>
    </row>
    <row r="216">
      <c r="A216" s="16">
        <f>IFERROR(__xludf.DUMMYFUNCTION("""COMPUTED_VALUE"""),44781.47761731481)</f>
        <v>44781.47762</v>
      </c>
      <c r="B216" s="13" t="str">
        <f>IFERROR(__xludf.DUMMYFUNCTION("""COMPUTED_VALUE"""),"Add new entry")</f>
        <v>Add new entry</v>
      </c>
      <c r="C216" s="17" t="str">
        <f>IFERROR(__xludf.DUMMYFUNCTION("""COMPUTED_VALUE"""),"Savaged")</f>
        <v>Savaged</v>
      </c>
      <c r="D216" s="18" t="str">
        <f>IFERROR(__xludf.DUMMYFUNCTION("""COMPUTED_VALUE"""),"Mia Sheridan")</f>
        <v>Mia Sheridan</v>
      </c>
      <c r="E216" s="18" t="str">
        <f>IFERROR(__xludf.DUMMYFUNCTION("""COMPUTED_VALUE"""),"M/F")</f>
        <v>M/F</v>
      </c>
      <c r="F216" s="18"/>
      <c r="G216" s="18"/>
      <c r="H216" s="18"/>
      <c r="I216" s="18" t="str">
        <f>IFERROR(__xludf.DUMMYFUNCTION("""COMPUTED_VALUE"""),"Contemporary, Romantic Suspense")</f>
        <v>Contemporary, Romantic Suspense</v>
      </c>
      <c r="J216" s="18" t="str">
        <f>IFERROR(__xludf.DUMMYFUNCTION("""COMPUTED_VALUE"""),"Class Differences, Loner/Isolated, Outdoorsy- forest/hiking/camping etc")</f>
        <v>Class Differences, Loner/Isolated, Outdoorsy- forest/hiking/camping etc</v>
      </c>
      <c r="K216" s="18"/>
      <c r="L216" s="18" t="str">
        <f>IFERROR(__xludf.DUMMYFUNCTION("""COMPUTED_VALUE"""),"Level 3- Sexual content in a few chapters")</f>
        <v>Level 3- Sexual content in a few chapters</v>
      </c>
      <c r="M216" s="18"/>
      <c r="N216" s="18" t="str">
        <f>IFERROR(__xludf.DUMMYFUNCTION("""COMPUTED_VALUE"""),"Standalone (not part of a series)")</f>
        <v>Standalone (not part of a series)</v>
      </c>
      <c r="O216" s="18"/>
      <c r="P216" s="18"/>
      <c r="Q216" s="18" t="str">
        <f>IFERROR(__xludf.DUMMYFUNCTION("""COMPUTED_VALUE"""),"abuse and imprisonment of children")</f>
        <v>abuse and imprisonment of children</v>
      </c>
      <c r="R216" s="19" t="str">
        <f>IFERROR(__xludf.DUMMYFUNCTION("""COMPUTED_VALUE"""),"No")</f>
        <v>No</v>
      </c>
      <c r="S216" s="20" t="str">
        <f>IFERROR(__xludf.DUMMYFUNCTION("""COMPUTED_VALUE"""),"https://www.goodreads.com/book/show/45714792-savaged")</f>
        <v>https://www.goodreads.com/book/show/45714792-savaged</v>
      </c>
    </row>
    <row r="217">
      <c r="A217" s="16">
        <f>IFERROR(__xludf.DUMMYFUNCTION("""COMPUTED_VALUE"""),44781.479002141205)</f>
        <v>44781.479</v>
      </c>
      <c r="B217" s="13" t="str">
        <f>IFERROR(__xludf.DUMMYFUNCTION("""COMPUTED_VALUE"""),"Add new entry")</f>
        <v>Add new entry</v>
      </c>
      <c r="C217" s="17" t="str">
        <f>IFERROR(__xludf.DUMMYFUNCTION("""COMPUTED_VALUE"""),"The Wish Collector")</f>
        <v>The Wish Collector</v>
      </c>
      <c r="D217" s="18" t="str">
        <f>IFERROR(__xludf.DUMMYFUNCTION("""COMPUTED_VALUE"""),"Mia Sheridan")</f>
        <v>Mia Sheridan</v>
      </c>
      <c r="E217" s="18" t="str">
        <f>IFERROR(__xludf.DUMMYFUNCTION("""COMPUTED_VALUE"""),"M/F")</f>
        <v>M/F</v>
      </c>
      <c r="F217" s="18" t="str">
        <f>IFERROR(__xludf.DUMMYFUNCTION("""COMPUTED_VALUE"""),"Physical disability or illness")</f>
        <v>Physical disability or illness</v>
      </c>
      <c r="G217" s="18"/>
      <c r="H217" s="18" t="str">
        <f>IFERROR(__xludf.DUMMYFUNCTION("""COMPUTED_VALUE"""),"Dual POV")</f>
        <v>Dual POV</v>
      </c>
      <c r="I217" s="18" t="str">
        <f>IFERROR(__xludf.DUMMYFUNCTION("""COMPUTED_VALUE"""),"Contemporary, Romantic Suspense")</f>
        <v>Contemporary, Romantic Suspense</v>
      </c>
      <c r="J217" s="18" t="str">
        <f>IFERROR(__xludf.DUMMYFUNCTION("""COMPUTED_VALUE"""),"Angst, Athlete")</f>
        <v>Angst, Athlete</v>
      </c>
      <c r="K217" s="18"/>
      <c r="L217" s="18" t="str">
        <f>IFERROR(__xludf.DUMMYFUNCTION("""COMPUTED_VALUE"""),"Level 3- Sexual content in a few chapters")</f>
        <v>Level 3- Sexual content in a few chapters</v>
      </c>
      <c r="M217" s="18"/>
      <c r="N217" s="18"/>
      <c r="O217" s="18"/>
      <c r="P217" s="18" t="str">
        <f>IFERROR(__xludf.DUMMYFUNCTION("""COMPUTED_VALUE"""),"Swoon, Cry")</f>
        <v>Swoon, Cry</v>
      </c>
      <c r="Q217" s="18"/>
      <c r="R217" s="19" t="str">
        <f>IFERROR(__xludf.DUMMYFUNCTION("""COMPUTED_VALUE"""),"No")</f>
        <v>No</v>
      </c>
      <c r="S217" s="20" t="str">
        <f>IFERROR(__xludf.DUMMYFUNCTION("""COMPUTED_VALUE"""),"https://www.goodreads.com/book/show/42606944-the-wish-collector")</f>
        <v>https://www.goodreads.com/book/show/42606944-the-wish-collector</v>
      </c>
    </row>
    <row r="218">
      <c r="A218" s="16">
        <f>IFERROR(__xludf.DUMMYFUNCTION("""COMPUTED_VALUE"""),44781.48071998843)</f>
        <v>44781.48072</v>
      </c>
      <c r="B218" s="13" t="str">
        <f>IFERROR(__xludf.DUMMYFUNCTION("""COMPUTED_VALUE"""),"Add new entry")</f>
        <v>Add new entry</v>
      </c>
      <c r="C218" s="17" t="str">
        <f>IFERROR(__xludf.DUMMYFUNCTION("""COMPUTED_VALUE"""),"The Boyfriend Tune-Up")</f>
        <v>The Boyfriend Tune-Up</v>
      </c>
      <c r="D218" s="18" t="str">
        <f>IFERROR(__xludf.DUMMYFUNCTION("""COMPUTED_VALUE"""),"Michele Gorman")</f>
        <v>Michele Gorman</v>
      </c>
      <c r="E218" s="18" t="str">
        <f>IFERROR(__xludf.DUMMYFUNCTION("""COMPUTED_VALUE"""),"M/F")</f>
        <v>M/F</v>
      </c>
      <c r="F218" s="18"/>
      <c r="G218" s="18"/>
      <c r="H218" s="18" t="str">
        <f>IFERROR(__xludf.DUMMYFUNCTION("""COMPUTED_VALUE"""),"Third person")</f>
        <v>Third person</v>
      </c>
      <c r="I218" s="18" t="str">
        <f>IFERROR(__xludf.DUMMYFUNCTION("""COMPUTED_VALUE"""),"Contemporary, Romantic Comedy")</f>
        <v>Contemporary, Romantic Comedy</v>
      </c>
      <c r="J218" s="18" t="str">
        <f>IFERROR(__xludf.DUMMYFUNCTION("""COMPUTED_VALUE"""),"Romance Adjacent, Slow Burn")</f>
        <v>Romance Adjacent, Slow Burn</v>
      </c>
      <c r="K218" s="18"/>
      <c r="L218" s="18" t="str">
        <f>IFERROR(__xludf.DUMMYFUNCTION("""COMPUTED_VALUE"""),"Level 2- Kisses and foreplay, everything else closed door")</f>
        <v>Level 2- Kisses and foreplay, everything else closed door</v>
      </c>
      <c r="M218" s="18"/>
      <c r="N218" s="18" t="str">
        <f>IFERROR(__xludf.DUMMYFUNCTION("""COMPUTED_VALUE"""),"Standalone (not part of a series)")</f>
        <v>Standalone (not part of a series)</v>
      </c>
      <c r="O218" s="18"/>
      <c r="P218" s="18" t="str">
        <f>IFERROR(__xludf.DUMMYFUNCTION("""COMPUTED_VALUE"""),"Laugh, Feel feels")</f>
        <v>Laugh, Feel feels</v>
      </c>
      <c r="Q218" s="18"/>
      <c r="R218" s="19" t="str">
        <f>IFERROR(__xludf.DUMMYFUNCTION("""COMPUTED_VALUE"""),"No")</f>
        <v>No</v>
      </c>
      <c r="S218" s="20" t="str">
        <f>IFERROR(__xludf.DUMMYFUNCTION("""COMPUTED_VALUE"""),"https://www.goodreads.com/book/show/48705791-the-boyfriend-tune-up")</f>
        <v>https://www.goodreads.com/book/show/48705791-the-boyfriend-tune-up</v>
      </c>
    </row>
    <row r="219">
      <c r="A219" s="16">
        <f>IFERROR(__xludf.DUMMYFUNCTION("""COMPUTED_VALUE"""),44781.482721354165)</f>
        <v>44781.48272</v>
      </c>
      <c r="B219" s="13" t="str">
        <f>IFERROR(__xludf.DUMMYFUNCTION("""COMPUTED_VALUE"""),"Add new entry")</f>
        <v>Add new entry</v>
      </c>
      <c r="C219" s="17" t="str">
        <f>IFERROR(__xludf.DUMMYFUNCTION("""COMPUTED_VALUE"""),"Dark Horse")</f>
        <v>Dark Horse</v>
      </c>
      <c r="D219" s="18" t="str">
        <f>IFERROR(__xludf.DUMMYFUNCTION("""COMPUTED_VALUE"""),"Michelle Diener")</f>
        <v>Michelle Diener</v>
      </c>
      <c r="E219" s="18" t="str">
        <f>IFERROR(__xludf.DUMMYFUNCTION("""COMPUTED_VALUE"""),"M/F")</f>
        <v>M/F</v>
      </c>
      <c r="F219" s="18"/>
      <c r="G219" s="18"/>
      <c r="H219" s="18"/>
      <c r="I219" s="18" t="str">
        <f>IFERROR(__xludf.DUMMYFUNCTION("""COMPUTED_VALUE"""),"Contemporary, Erotic Romance, Military or Security, Multicultural/Interracial, Science Fiction &amp; Alien")</f>
        <v>Contemporary, Erotic Romance, Military or Security, Multicultural/Interracial, Science Fiction &amp; Alien</v>
      </c>
      <c r="J219" s="18" t="str">
        <f>IFERROR(__xludf.DUMMYFUNCTION("""COMPUTED_VALUE"""),"Hurt/Comfort, Ordinary MC- Average looks or career, Political, Spy/Intrigue/Mystery")</f>
        <v>Hurt/Comfort, Ordinary MC- Average looks or career, Political, Spy/Intrigue/Mystery</v>
      </c>
      <c r="K219" s="18"/>
      <c r="L219" s="18" t="str">
        <f>IFERROR(__xludf.DUMMYFUNCTION("""COMPUTED_VALUE"""),"Level 3- Sexual content in a few chapters")</f>
        <v>Level 3- Sexual content in a few chapters</v>
      </c>
      <c r="M219" s="18"/>
      <c r="N219" s="18"/>
      <c r="O219" s="18" t="str">
        <f>IFERROR(__xludf.DUMMYFUNCTION("""COMPUTED_VALUE"""),"Class 5 #1")</f>
        <v>Class 5 #1</v>
      </c>
      <c r="P219" s="18" t="str">
        <f>IFERROR(__xludf.DUMMYFUNCTION("""COMPUTED_VALUE"""),"Swoon, Tingle, Feel feels, Dream, Smolder, Inspired, Transported")</f>
        <v>Swoon, Tingle, Feel feels, Dream, Smolder, Inspired, Transported</v>
      </c>
      <c r="Q219" s="18"/>
      <c r="R219" s="19" t="str">
        <f>IFERROR(__xludf.DUMMYFUNCTION("""COMPUTED_VALUE"""),"No")</f>
        <v>No</v>
      </c>
      <c r="S219" s="20" t="str">
        <f>IFERROR(__xludf.DUMMYFUNCTION("""COMPUTED_VALUE"""),"https://www.goodreads.com/book/show/25615831-dark-horse")</f>
        <v>https://www.goodreads.com/book/show/25615831-dark-horse</v>
      </c>
    </row>
    <row r="220">
      <c r="A220" s="16">
        <f>IFERROR(__xludf.DUMMYFUNCTION("""COMPUTED_VALUE"""),44872.316780231486)</f>
        <v>44872.31678</v>
      </c>
      <c r="B220" s="13" t="str">
        <f>IFERROR(__xludf.DUMMYFUNCTION("""COMPUTED_VALUE"""),"Add new entry")</f>
        <v>Add new entry</v>
      </c>
      <c r="C220" s="17" t="str">
        <f>IFERROR(__xludf.DUMMYFUNCTION("""COMPUTED_VALUE"""),"Snowed In With Benefits ")</f>
        <v>Snowed In With Benefits </v>
      </c>
      <c r="D220" s="18" t="str">
        <f>IFERROR(__xludf.DUMMYFUNCTION("""COMPUTED_VALUE"""),"Misha Horne")</f>
        <v>Misha Horne</v>
      </c>
      <c r="E220" s="18" t="str">
        <f>IFERROR(__xludf.DUMMYFUNCTION("""COMPUTED_VALUE"""),"M/M")</f>
        <v>M/M</v>
      </c>
      <c r="F220" s="18" t="str">
        <f>IFERROR(__xludf.DUMMYFUNCTION("""COMPUTED_VALUE"""),"LGBTQIA+ &amp; GSM (Gender and Sexual Minorities), Kinky")</f>
        <v>LGBTQIA+ &amp; GSM (Gender and Sexual Minorities), Kinky</v>
      </c>
      <c r="G220" s="18"/>
      <c r="H220" s="18" t="str">
        <f>IFERROR(__xludf.DUMMYFUNCTION("""COMPUTED_VALUE"""),"Dual POV, First person")</f>
        <v>Dual POV, First person</v>
      </c>
      <c r="I220" s="18" t="str">
        <f>IFERROR(__xludf.DUMMYFUNCTION("""COMPUTED_VALUE"""),"Contemporary")</f>
        <v>Contemporary</v>
      </c>
      <c r="J220" s="18" t="str">
        <f>IFERROR(__xludf.DUMMYFUNCTION("""COMPUTED_VALUE"""),"BDSM or Kink, Celebrities- Rock star/Actor/Model, Enemies-to-lovers (or dislike-to-love), Forced Proximity, Holidays, Hurt/Comfort, Loner/Isolated, Opposites Attract, Pining/Yearning, Slow Burn")</f>
        <v>BDSM or Kink, Celebrities- Rock star/Actor/Model, Enemies-to-lovers (or dislike-to-love), Forced Proximity, Holidays, Hurt/Comfort, Loner/Isolated, Opposites Attract, Pining/Yearning, Slow Burn</v>
      </c>
      <c r="K220" s="18" t="str">
        <f>IFERROR(__xludf.DUMMYFUNCTION("""COMPUTED_VALUE"""),"North America")</f>
        <v>North America</v>
      </c>
      <c r="L220" s="18" t="str">
        <f>IFERROR(__xludf.DUMMYFUNCTION("""COMPUTED_VALUE"""),"Level 4- Heavy sexual content, mature audiences only")</f>
        <v>Level 4- Heavy sexual content, mature audiences only</v>
      </c>
      <c r="M220" s="18" t="str">
        <f>IFERROR(__xludf.DUMMYFUNCTION("""COMPUTED_VALUE"""),"Anal sex, Dirty Talk, Impact play (spanking etc), Oral sex - fellatio")</f>
        <v>Anal sex, Dirty Talk, Impact play (spanking etc), Oral sex - fellatio</v>
      </c>
      <c r="N220" s="18" t="str">
        <f>IFERROR(__xludf.DUMMYFUNCTION("""COMPUTED_VALUE"""),"Standalone (not part of a series)")</f>
        <v>Standalone (not part of a series)</v>
      </c>
      <c r="O220" s="18"/>
      <c r="P220" s="18" t="str">
        <f>IFERROR(__xludf.DUMMYFUNCTION("""COMPUTED_VALUE"""),"Swoon, Tingle, Laugh, Cry, Rage, Feel feels, Dream, Smolder, Inspired, Transported")</f>
        <v>Swoon, Tingle, Laugh, Cry, Rage, Feel feels, Dream, Smolder, Inspired, Transported</v>
      </c>
      <c r="Q220" s="18"/>
      <c r="R220" s="19" t="str">
        <f>IFERROR(__xludf.DUMMYFUNCTION("""COMPUTED_VALUE"""),"No")</f>
        <v>No</v>
      </c>
      <c r="S220" s="20" t="str">
        <f>IFERROR(__xludf.DUMMYFUNCTION("""COMPUTED_VALUE"""),"https://www.goodreads.com/book/show/60638222-snowed-in-with-benefits")</f>
        <v>https://www.goodreads.com/book/show/60638222-snowed-in-with-benefits</v>
      </c>
    </row>
    <row r="221">
      <c r="A221" s="16">
        <f>IFERROR(__xludf.DUMMYFUNCTION("""COMPUTED_VALUE"""),44900.01337859954)</f>
        <v>44900.01338</v>
      </c>
      <c r="B221" s="13" t="str">
        <f>IFERROR(__xludf.DUMMYFUNCTION("""COMPUTED_VALUE"""),"Add new entry")</f>
        <v>Add new entry</v>
      </c>
      <c r="C221" s="17" t="str">
        <f>IFERROR(__xludf.DUMMYFUNCTION("""COMPUTED_VALUE"""),"Tis The Season For Revenge")</f>
        <v>Tis The Season For Revenge</v>
      </c>
      <c r="D221" s="18" t="str">
        <f>IFERROR(__xludf.DUMMYFUNCTION("""COMPUTED_VALUE"""),"Morgan Elizabeth")</f>
        <v>Morgan Elizabeth</v>
      </c>
      <c r="E221" s="18" t="str">
        <f>IFERROR(__xludf.DUMMYFUNCTION("""COMPUTED_VALUE"""),"M/F")</f>
        <v>M/F</v>
      </c>
      <c r="F221" s="18"/>
      <c r="G221" s="18"/>
      <c r="H221" s="18" t="str">
        <f>IFERROR(__xludf.DUMMYFUNCTION("""COMPUTED_VALUE"""),"Dual POV")</f>
        <v>Dual POV</v>
      </c>
      <c r="I221" s="18" t="str">
        <f>IFERROR(__xludf.DUMMYFUNCTION("""COMPUTED_VALUE"""),"Contemporary")</f>
        <v>Contemporary</v>
      </c>
      <c r="J221" s="18" t="str">
        <f>IFERROR(__xludf.DUMMYFUNCTION("""COMPUTED_VALUE"""),"Age Difference, Class Differences, Holidays, Mature (35 and over), Revenge plot")</f>
        <v>Age Difference, Class Differences, Holidays, Mature (35 and over), Revenge plot</v>
      </c>
      <c r="K221" s="18" t="str">
        <f>IFERROR(__xludf.DUMMYFUNCTION("""COMPUTED_VALUE"""),"North America")</f>
        <v>North America</v>
      </c>
      <c r="L221" s="18" t="str">
        <f>IFERROR(__xludf.DUMMYFUNCTION("""COMPUTED_VALUE"""),"Level 4- Heavy sexual content, mature audiences only")</f>
        <v>Level 4- Heavy sexual content, mature audiences only</v>
      </c>
      <c r="M221" s="18" t="str">
        <f>IFERROR(__xludf.DUMMYFUNCTION("""COMPUTED_VALUE"""),"Dirty Talk, Edging/Orgasm Denial, Oral sex - cunnilingus, Oral sex - fellatio, Praise Kink")</f>
        <v>Dirty Talk, Edging/Orgasm Denial, Oral sex - cunnilingus, Oral sex - fellatio, Praise Kink</v>
      </c>
      <c r="N221" s="18"/>
      <c r="O221" s="18"/>
      <c r="P221" s="18" t="str">
        <f>IFERROR(__xludf.DUMMYFUNCTION("""COMPUTED_VALUE"""),"Swoon")</f>
        <v>Swoon</v>
      </c>
      <c r="Q221" s="18"/>
      <c r="R221" s="19" t="str">
        <f>IFERROR(__xludf.DUMMYFUNCTION("""COMPUTED_VALUE"""),"No")</f>
        <v>No</v>
      </c>
      <c r="S221" s="20" t="str">
        <f>IFERROR(__xludf.DUMMYFUNCTION("""COMPUTED_VALUE"""),"https://www.goodreads.com/book/show/61195387-tis-the-season-for-revenge")</f>
        <v>https://www.goodreads.com/book/show/61195387-tis-the-season-for-revenge</v>
      </c>
    </row>
    <row r="222">
      <c r="A222" s="16">
        <f>IFERROR(__xludf.DUMMYFUNCTION("""COMPUTED_VALUE"""),44781.486134826395)</f>
        <v>44781.48613</v>
      </c>
      <c r="B222" s="13" t="str">
        <f>IFERROR(__xludf.DUMMYFUNCTION("""COMPUTED_VALUE"""),"Add new entry")</f>
        <v>Add new entry</v>
      </c>
      <c r="C222" s="17" t="str">
        <f>IFERROR(__xludf.DUMMYFUNCTION("""COMPUTED_VALUE"""),"Rescue")</f>
        <v>Rescue</v>
      </c>
      <c r="D222" s="18" t="str">
        <f>IFERROR(__xludf.DUMMYFUNCTION("""COMPUTED_VALUE"""),"Mx. Alex")</f>
        <v>Mx. Alex</v>
      </c>
      <c r="E222" s="18" t="str">
        <f>IFERROR(__xludf.DUMMYFUNCTION("""COMPUTED_VALUE"""),"M/M")</f>
        <v>M/M</v>
      </c>
      <c r="F222" s="18" t="str">
        <f>IFERROR(__xludf.DUMMYFUNCTION("""COMPUTED_VALUE"""),"LGBTQIA+ &amp; GSM (Gender and Sexual Minorities), Physical disability or illness, Mental disability or illness")</f>
        <v>LGBTQIA+ &amp; GSM (Gender and Sexual Minorities), Physical disability or illness, Mental disability or illness</v>
      </c>
      <c r="G222" s="18"/>
      <c r="H222" s="18" t="str">
        <f>IFERROR(__xludf.DUMMYFUNCTION("""COMPUTED_VALUE"""),"Single POV")</f>
        <v>Single POV</v>
      </c>
      <c r="I222" s="18" t="str">
        <f>IFERROR(__xludf.DUMMYFUNCTION("""COMPUTED_VALUE"""),"Erotic Romance, Paranormal, Science Fiction &amp; Alien")</f>
        <v>Erotic Romance, Paranormal, Science Fiction &amp; Alien</v>
      </c>
      <c r="J222" s="18" t="str">
        <f>IFERROR(__xludf.DUMMYFUNCTION("""COMPUTED_VALUE"""),"Age Difference, Enemies-to-lovers (or dislike-to-love), Hurt/Comfort, Wounded Hero/Heroine &amp; War Heroes/Heroines")</f>
        <v>Age Difference, Enemies-to-lovers (or dislike-to-love), Hurt/Comfort, Wounded Hero/Heroine &amp; War Heroes/Heroines</v>
      </c>
      <c r="K222" s="18"/>
      <c r="L222" s="18" t="str">
        <f>IFERROR(__xludf.DUMMYFUNCTION("""COMPUTED_VALUE"""),"Level 4- Heavy sexual content, mature audiences only")</f>
        <v>Level 4- Heavy sexual content, mature audiences only</v>
      </c>
      <c r="M222" s="18"/>
      <c r="N222" s="18"/>
      <c r="O222" s="18" t="str">
        <f>IFERROR(__xludf.DUMMYFUNCTION("""COMPUTED_VALUE"""),"Rescue #1")</f>
        <v>Rescue #1</v>
      </c>
      <c r="P222" s="18" t="str">
        <f>IFERROR(__xludf.DUMMYFUNCTION("""COMPUTED_VALUE"""),"Swoon, Feel feels, Smolder")</f>
        <v>Swoon, Feel feels, Smolder</v>
      </c>
      <c r="Q222" s="18" t="str">
        <f>IFERROR(__xludf.DUMMYFUNCTION("""COMPUTED_VALUE"""),"Abuse of side characters and self-harm")</f>
        <v>Abuse of side characters and self-harm</v>
      </c>
      <c r="R222" s="19" t="str">
        <f>IFERROR(__xludf.DUMMYFUNCTION("""COMPUTED_VALUE"""),"No")</f>
        <v>No</v>
      </c>
      <c r="S222" s="20" t="str">
        <f>IFERROR(__xludf.DUMMYFUNCTION("""COMPUTED_VALUE"""),"https://www.goodreads.com/book/show/57114654-rescue")</f>
        <v>https://www.goodreads.com/book/show/57114654-rescue</v>
      </c>
    </row>
    <row r="223">
      <c r="A223" s="16">
        <f>IFERROR(__xludf.DUMMYFUNCTION("""COMPUTED_VALUE"""),44781.48799314815)</f>
        <v>44781.48799</v>
      </c>
      <c r="B223" s="13" t="str">
        <f>IFERROR(__xludf.DUMMYFUNCTION("""COMPUTED_VALUE"""),"Add new entry")</f>
        <v>Add new entry</v>
      </c>
      <c r="C223" s="17" t="str">
        <f>IFERROR(__xludf.DUMMYFUNCTION("""COMPUTED_VALUE"""),"Galaxies and Oceans")</f>
        <v>Galaxies and Oceans</v>
      </c>
      <c r="D223" s="18" t="str">
        <f>IFERROR(__xludf.DUMMYFUNCTION("""COMPUTED_VALUE"""),"N. R. Walker")</f>
        <v>N. R. Walker</v>
      </c>
      <c r="E223" s="18" t="str">
        <f>IFERROR(__xludf.DUMMYFUNCTION("""COMPUTED_VALUE"""),"M/M")</f>
        <v>M/M</v>
      </c>
      <c r="F223" s="18" t="str">
        <f>IFERROR(__xludf.DUMMYFUNCTION("""COMPUTED_VALUE"""),"LGBTQIA+ &amp; GSM (Gender and Sexual Minorities)")</f>
        <v>LGBTQIA+ &amp; GSM (Gender and Sexual Minorities)</v>
      </c>
      <c r="G223" s="18"/>
      <c r="H223" s="18" t="str">
        <f>IFERROR(__xludf.DUMMYFUNCTION("""COMPUTED_VALUE"""),"Dual POV, Third person")</f>
        <v>Dual POV, Third person</v>
      </c>
      <c r="I223" s="18" t="str">
        <f>IFERROR(__xludf.DUMMYFUNCTION("""COMPUTED_VALUE"""),"Contemporary")</f>
        <v>Contemporary</v>
      </c>
      <c r="J223" s="18" t="str">
        <f>IFERROR(__xludf.DUMMYFUNCTION("""COMPUTED_VALUE"""),"Age Difference, Angst, Hurt/Comfort, Loner/Isolated, Small Town, Sweet MC- beta hero/kindhearted heroine/etc, Wounded Hero/Heroine &amp; War Heroes/Heroines")</f>
        <v>Age Difference, Angst, Hurt/Comfort, Loner/Isolated, Small Town, Sweet MC- beta hero/kindhearted heroine/etc, Wounded Hero/Heroine &amp; War Heroes/Heroines</v>
      </c>
      <c r="K223" s="18" t="str">
        <f>IFERROR(__xludf.DUMMYFUNCTION("""COMPUTED_VALUE"""),"Australia &amp; NZ")</f>
        <v>Australia &amp; NZ</v>
      </c>
      <c r="L223" s="18" t="str">
        <f>IFERROR(__xludf.DUMMYFUNCTION("""COMPUTED_VALUE"""),"Level 3- Sexual content in a few chapters")</f>
        <v>Level 3- Sexual content in a few chapters</v>
      </c>
      <c r="M223" s="18"/>
      <c r="N223" s="18"/>
      <c r="O223" s="18"/>
      <c r="P223" s="18" t="str">
        <f>IFERROR(__xludf.DUMMYFUNCTION("""COMPUTED_VALUE"""),"Swoon, Cry, Rage, Smolder, Transported")</f>
        <v>Swoon, Cry, Rage, Smolder, Transported</v>
      </c>
      <c r="Q223" s="18" t="str">
        <f>IFERROR(__xludf.DUMMYFUNCTION("""COMPUTED_VALUE"""),"abuse, assault, homelessness, death of partner (in the past)")</f>
        <v>abuse, assault, homelessness, death of partner (in the past)</v>
      </c>
      <c r="R223" s="19" t="str">
        <f>IFERROR(__xludf.DUMMYFUNCTION("""COMPUTED_VALUE"""),"No")</f>
        <v>No</v>
      </c>
      <c r="S223" s="20" t="str">
        <f>IFERROR(__xludf.DUMMYFUNCTION("""COMPUTED_VALUE"""),"https://www.goodreads.com/book/show/40627465-galaxies-and-oceans")</f>
        <v>https://www.goodreads.com/book/show/40627465-galaxies-and-oceans</v>
      </c>
    </row>
    <row r="224">
      <c r="A224" s="16">
        <f>IFERROR(__xludf.DUMMYFUNCTION("""COMPUTED_VALUE"""),44781.4904036574)</f>
        <v>44781.4904</v>
      </c>
      <c r="B224" s="13" t="str">
        <f>IFERROR(__xludf.DUMMYFUNCTION("""COMPUTED_VALUE"""),"Add new entry")</f>
        <v>Add new entry</v>
      </c>
      <c r="C224" s="17" t="str">
        <f>IFERROR(__xludf.DUMMYFUNCTION("""COMPUTED_VALUE"""),"Imago")</f>
        <v>Imago</v>
      </c>
      <c r="D224" s="18" t="str">
        <f>IFERROR(__xludf.DUMMYFUNCTION("""COMPUTED_VALUE"""),"N. R. Walker")</f>
        <v>N. R. Walker</v>
      </c>
      <c r="E224" s="18" t="str">
        <f>IFERROR(__xludf.DUMMYFUNCTION("""COMPUTED_VALUE"""),"M/M")</f>
        <v>M/M</v>
      </c>
      <c r="F224" s="18" t="str">
        <f>IFERROR(__xludf.DUMMYFUNCTION("""COMPUTED_VALUE"""),"LGBTQIA+ &amp; GSM (Gender and Sexual Minorities), Neurodivergent (Autism, ADHD, dyspraxia, dyslexia, etc)")</f>
        <v>LGBTQIA+ &amp; GSM (Gender and Sexual Minorities), Neurodivergent (Autism, ADHD, dyspraxia, dyslexia, etc)</v>
      </c>
      <c r="G224" s="18"/>
      <c r="H224" s="18" t="str">
        <f>IFERROR(__xludf.DUMMYFUNCTION("""COMPUTED_VALUE"""),"Dual POV, First person")</f>
        <v>Dual POV, First person</v>
      </c>
      <c r="I224" s="18" t="str">
        <f>IFERROR(__xludf.DUMMYFUNCTION("""COMPUTED_VALUE"""),"Contemporary")</f>
        <v>Contemporary</v>
      </c>
      <c r="J224" s="18" t="str">
        <f>IFERROR(__xludf.DUMMYFUNCTION("""COMPUTED_VALUE"""),"Insta-lust/Insta-love/Insta-coffee, Novella or Short Story, Opposites Attract, Outdoorsy- forest/hiking/camping etc, Sweet MC- beta hero/kindhearted heroine/etc")</f>
        <v>Insta-lust/Insta-love/Insta-coffee, Novella or Short Story, Opposites Attract, Outdoorsy- forest/hiking/camping etc, Sweet MC- beta hero/kindhearted heroine/etc</v>
      </c>
      <c r="K224" s="18" t="str">
        <f>IFERROR(__xludf.DUMMYFUNCTION("""COMPUTED_VALUE"""),"Australia &amp; NZ")</f>
        <v>Australia &amp; NZ</v>
      </c>
      <c r="L224" s="18" t="str">
        <f>IFERROR(__xludf.DUMMYFUNCTION("""COMPUTED_VALUE"""),"Level 4- Heavy sexual content, mature audiences only")</f>
        <v>Level 4- Heavy sexual content, mature audiences only</v>
      </c>
      <c r="M224" s="18"/>
      <c r="N224" s="18"/>
      <c r="O224" s="18" t="str">
        <f>IFERROR(__xludf.DUMMYFUNCTION("""COMPUTED_VALUE"""),"Imago #1")</f>
        <v>Imago #1</v>
      </c>
      <c r="P224" s="18"/>
      <c r="Q224" s="18" t="str">
        <f>IFERROR(__xludf.DUMMYFUNCTION("""COMPUTED_VALUE"""),"Natural Disaster")</f>
        <v>Natural Disaster</v>
      </c>
      <c r="R224" s="19" t="str">
        <f>IFERROR(__xludf.DUMMYFUNCTION("""COMPUTED_VALUE"""),"No")</f>
        <v>No</v>
      </c>
      <c r="S224" s="20" t="str">
        <f>IFERROR(__xludf.DUMMYFUNCTION("""COMPUTED_VALUE"""),"https://www.goodreads.com/book/show/34342184-imago")</f>
        <v>https://www.goodreads.com/book/show/34342184-imago</v>
      </c>
    </row>
    <row r="225">
      <c r="A225" s="16">
        <f>IFERROR(__xludf.DUMMYFUNCTION("""COMPUTED_VALUE"""),44781.49259501157)</f>
        <v>44781.4926</v>
      </c>
      <c r="B225" s="13" t="str">
        <f>IFERROR(__xludf.DUMMYFUNCTION("""COMPUTED_VALUE"""),"Add new entry")</f>
        <v>Add new entry</v>
      </c>
      <c r="C225" s="17" t="str">
        <f>IFERROR(__xludf.DUMMYFUNCTION("""COMPUTED_VALUE"""),"The Wingman")</f>
        <v>The Wingman</v>
      </c>
      <c r="D225" s="18" t="str">
        <f>IFERROR(__xludf.DUMMYFUNCTION("""COMPUTED_VALUE"""),"Natasha Anders")</f>
        <v>Natasha Anders</v>
      </c>
      <c r="E225" s="18" t="str">
        <f>IFERROR(__xludf.DUMMYFUNCTION("""COMPUTED_VALUE"""),"M/F")</f>
        <v>M/F</v>
      </c>
      <c r="F225" s="18"/>
      <c r="G225" s="18"/>
      <c r="H225" s="18" t="str">
        <f>IFERROR(__xludf.DUMMYFUNCTION("""COMPUTED_VALUE"""),"Dual POV, First person")</f>
        <v>Dual POV, First person</v>
      </c>
      <c r="I225" s="18" t="str">
        <f>IFERROR(__xludf.DUMMYFUNCTION("""COMPUTED_VALUE"""),"Contemporary")</f>
        <v>Contemporary</v>
      </c>
      <c r="J225" s="18" t="str">
        <f>IFERROR(__xludf.DUMMYFUNCTION("""COMPUTED_VALUE"""),"Fake Relationship, Ordinary MC- Average looks or career, Slow Burn, Small Town")</f>
        <v>Fake Relationship, Ordinary MC- Average looks or career, Slow Burn, Small Town</v>
      </c>
      <c r="K225" s="18" t="str">
        <f>IFERROR(__xludf.DUMMYFUNCTION("""COMPUTED_VALUE"""),"Africa")</f>
        <v>Africa</v>
      </c>
      <c r="L225" s="18" t="str">
        <f>IFERROR(__xludf.DUMMYFUNCTION("""COMPUTED_VALUE"""),"Level 2- Kisses and foreplay, everything else closed door")</f>
        <v>Level 2- Kisses and foreplay, everything else closed door</v>
      </c>
      <c r="M225" s="18"/>
      <c r="N225" s="18"/>
      <c r="O225" s="18" t="str">
        <f>IFERROR(__xludf.DUMMYFUNCTION("""COMPUTED_VALUE"""),"Alpha Men #1")</f>
        <v>Alpha Men #1</v>
      </c>
      <c r="P225" s="18" t="str">
        <f>IFERROR(__xludf.DUMMYFUNCTION("""COMPUTED_VALUE"""),"Feel feels")</f>
        <v>Feel feels</v>
      </c>
      <c r="Q225" s="18"/>
      <c r="R225" s="19" t="str">
        <f>IFERROR(__xludf.DUMMYFUNCTION("""COMPUTED_VALUE"""),"Yes")</f>
        <v>Yes</v>
      </c>
      <c r="S225" s="20" t="str">
        <f>IFERROR(__xludf.DUMMYFUNCTION("""COMPUTED_VALUE"""),"https://www.goodreads.com/book/show/31697989-the-wingman")</f>
        <v>https://www.goodreads.com/book/show/31697989-the-wingman</v>
      </c>
    </row>
    <row r="226">
      <c r="A226" s="16">
        <f>IFERROR(__xludf.DUMMYFUNCTION("""COMPUTED_VALUE"""),44781.49442754629)</f>
        <v>44781.49443</v>
      </c>
      <c r="B226" s="13" t="str">
        <f>IFERROR(__xludf.DUMMYFUNCTION("""COMPUTED_VALUE"""),"Add new entry")</f>
        <v>Add new entry</v>
      </c>
      <c r="C226" s="17" t="str">
        <f>IFERROR(__xludf.DUMMYFUNCTION("""COMPUTED_VALUE"""),"Do You Feel It Too?")</f>
        <v>Do You Feel It Too?</v>
      </c>
      <c r="D226" s="18" t="str">
        <f>IFERROR(__xludf.DUMMYFUNCTION("""COMPUTED_VALUE"""),"Nicola Rendell")</f>
        <v>Nicola Rendell</v>
      </c>
      <c r="E226" s="18" t="str">
        <f>IFERROR(__xludf.DUMMYFUNCTION("""COMPUTED_VALUE"""),"M/F")</f>
        <v>M/F</v>
      </c>
      <c r="F226" s="18"/>
      <c r="G226" s="18"/>
      <c r="H226" s="18" t="str">
        <f>IFERROR(__xludf.DUMMYFUNCTION("""COMPUTED_VALUE"""),"Dual POV")</f>
        <v>Dual POV</v>
      </c>
      <c r="I226" s="18" t="str">
        <f>IFERROR(__xludf.DUMMYFUNCTION("""COMPUTED_VALUE"""),"Contemporary, Romantic Comedy")</f>
        <v>Contemporary, Romantic Comedy</v>
      </c>
      <c r="J226" s="18" t="str">
        <f>IFERROR(__xludf.DUMMYFUNCTION("""COMPUTED_VALUE"""),"Celebrities- Rock star/Actor/Model, Insta-lust/Insta-love/Insta-coffee, Mature (35 and over), Opposites Attract")</f>
        <v>Celebrities- Rock star/Actor/Model, Insta-lust/Insta-love/Insta-coffee, Mature (35 and over), Opposites Attract</v>
      </c>
      <c r="K226" s="18"/>
      <c r="L226" s="18" t="str">
        <f>IFERROR(__xludf.DUMMYFUNCTION("""COMPUTED_VALUE"""),"Level 4- Heavy sexual content, mature audiences only")</f>
        <v>Level 4- Heavy sexual content, mature audiences only</v>
      </c>
      <c r="M226" s="18"/>
      <c r="N226" s="18" t="str">
        <f>IFERROR(__xludf.DUMMYFUNCTION("""COMPUTED_VALUE"""),"Standalone (not part of a series)")</f>
        <v>Standalone (not part of a series)</v>
      </c>
      <c r="O226" s="18"/>
      <c r="P226" s="18" t="str">
        <f>IFERROR(__xludf.DUMMYFUNCTION("""COMPUTED_VALUE"""),"Tingle, Laugh, Dream, Learn")</f>
        <v>Tingle, Laugh, Dream, Learn</v>
      </c>
      <c r="Q226" s="18"/>
      <c r="R226" s="19" t="str">
        <f>IFERROR(__xludf.DUMMYFUNCTION("""COMPUTED_VALUE"""),"Yes")</f>
        <v>Yes</v>
      </c>
      <c r="S226" s="20" t="str">
        <f>IFERROR(__xludf.DUMMYFUNCTION("""COMPUTED_VALUE"""),"https://www.goodreads.com/book/show/40273357-do-you-feel-it-too")</f>
        <v>https://www.goodreads.com/book/show/40273357-do-you-feel-it-too</v>
      </c>
    </row>
    <row r="227">
      <c r="A227" s="16">
        <f>IFERROR(__xludf.DUMMYFUNCTION("""COMPUTED_VALUE"""),44781.49936734954)</f>
        <v>44781.49937</v>
      </c>
      <c r="B227" s="13" t="str">
        <f>IFERROR(__xludf.DUMMYFUNCTION("""COMPUTED_VALUE"""),"Add new entry")</f>
        <v>Add new entry</v>
      </c>
      <c r="C227" s="17" t="str">
        <f>IFERROR(__xludf.DUMMYFUNCTION("""COMPUTED_VALUE"""),"Shimmy Bang Sparkle")</f>
        <v>Shimmy Bang Sparkle</v>
      </c>
      <c r="D227" s="18" t="str">
        <f>IFERROR(__xludf.DUMMYFUNCTION("""COMPUTED_VALUE"""),"Nicola Rendell")</f>
        <v>Nicola Rendell</v>
      </c>
      <c r="E227" s="18" t="str">
        <f>IFERROR(__xludf.DUMMYFUNCTION("""COMPUTED_VALUE"""),"M/F")</f>
        <v>M/F</v>
      </c>
      <c r="F227" s="18"/>
      <c r="G227" s="18"/>
      <c r="H227" s="18" t="str">
        <f>IFERROR(__xludf.DUMMYFUNCTION("""COMPUTED_VALUE"""),"Dual POV, Third person")</f>
        <v>Dual POV, Third person</v>
      </c>
      <c r="I227" s="18" t="str">
        <f>IFERROR(__xludf.DUMMYFUNCTION("""COMPUTED_VALUE"""),"Contemporary, Erotic Romance, Romantic Comedy")</f>
        <v>Contemporary, Erotic Romance, Romantic Comedy</v>
      </c>
      <c r="J227" s="18" t="str">
        <f>IFERROR(__xludf.DUMMYFUNCTION("""COMPUTED_VALUE"""),"Insta-lust/Insta-love/Insta-coffee, Mafia/Gang/Criminal, Mature (35 and over), Road Trip/Travel, Tattoos &amp; Piercings, Heist")</f>
        <v>Insta-lust/Insta-love/Insta-coffee, Mafia/Gang/Criminal, Mature (35 and over), Road Trip/Travel, Tattoos &amp; Piercings, Heist</v>
      </c>
      <c r="K227" s="18"/>
      <c r="L227" s="18" t="str">
        <f>IFERROR(__xludf.DUMMYFUNCTION("""COMPUTED_VALUE"""),"Level 4- Heavy sexual content, mature audiences only")</f>
        <v>Level 4- Heavy sexual content, mature audiences only</v>
      </c>
      <c r="M227" s="18"/>
      <c r="N227" s="18" t="str">
        <f>IFERROR(__xludf.DUMMYFUNCTION("""COMPUTED_VALUE"""),"Standalone (not part of a series)")</f>
        <v>Standalone (not part of a series)</v>
      </c>
      <c r="O227" s="18"/>
      <c r="P227" s="18" t="str">
        <f>IFERROR(__xludf.DUMMYFUNCTION("""COMPUTED_VALUE"""),"Laugh, Dream, Smolder, Inspired")</f>
        <v>Laugh, Dream, Smolder, Inspired</v>
      </c>
      <c r="Q227" s="18"/>
      <c r="R227" s="19" t="str">
        <f>IFERROR(__xludf.DUMMYFUNCTION("""COMPUTED_VALUE"""),"Yes")</f>
        <v>Yes</v>
      </c>
      <c r="S227" s="20" t="str">
        <f>IFERROR(__xludf.DUMMYFUNCTION("""COMPUTED_VALUE"""),"https://www.goodreads.com/book/show/37916608-shimmy-bang-sparkle")</f>
        <v>https://www.goodreads.com/book/show/37916608-shimmy-bang-sparkle</v>
      </c>
    </row>
    <row r="228">
      <c r="A228" s="16">
        <f>IFERROR(__xludf.DUMMYFUNCTION("""COMPUTED_VALUE"""),45577.132912256944)</f>
        <v>45577.13291</v>
      </c>
      <c r="B228" s="13" t="str">
        <f>IFERROR(__xludf.DUMMYFUNCTION("""COMPUTED_VALUE"""),"Add new entry")</f>
        <v>Add new entry</v>
      </c>
      <c r="C228" s="17" t="str">
        <f>IFERROR(__xludf.DUMMYFUNCTION("""COMPUTED_VALUE"""),"Stay With Me")</f>
        <v>Stay With Me</v>
      </c>
      <c r="D228" s="18" t="str">
        <f>IFERROR(__xludf.DUMMYFUNCTION("""COMPUTED_VALUE"""),"Nicole Fiorina")</f>
        <v>Nicole Fiorina</v>
      </c>
      <c r="E228" s="18" t="str">
        <f>IFERROR(__xludf.DUMMYFUNCTION("""COMPUTED_VALUE"""),"M/F")</f>
        <v>M/F</v>
      </c>
      <c r="F228" s="18" t="str">
        <f>IFERROR(__xludf.DUMMYFUNCTION("""COMPUTED_VALUE"""),"LGBTQIA+ &amp; GSM (Gender and Sexual Minorities), Neurodivergent (Autism, ADHD, dyspraxia, dyslexia, etc), Mental disability or illness")</f>
        <v>LGBTQIA+ &amp; GSM (Gender and Sexual Minorities), Neurodivergent (Autism, ADHD, dyspraxia, dyslexia, etc), Mental disability or illness</v>
      </c>
      <c r="G228" s="18" t="str">
        <f>IFERROR(__xludf.DUMMYFUNCTION("""COMPUTED_VALUE"""),"Ollie is my husband")</f>
        <v>Ollie is my husband</v>
      </c>
      <c r="H228" s="18" t="str">
        <f>IFERROR(__xludf.DUMMYFUNCTION("""COMPUTED_VALUE"""),"Single POV")</f>
        <v>Single POV</v>
      </c>
      <c r="I228" s="18" t="str">
        <f>IFERROR(__xludf.DUMMYFUNCTION("""COMPUTED_VALUE"""),"Contemporary, Dark, Erotic Romance, New Adult (NA), Romantic Suspense")</f>
        <v>Contemporary, Dark, Erotic Romance, New Adult (NA), Romantic Suspense</v>
      </c>
      <c r="J228" s="18" t="str">
        <f>IFERROR(__xludf.DUMMYFUNCTION("""COMPUTED_VALUE"""),"Angst, Enemies-to-lovers (or dislike-to-love), Grumpy/Sunshine, Loner/Isolated, Opposites Attract, Second Chance, Tattoos &amp; Piercings")</f>
        <v>Angst, Enemies-to-lovers (or dislike-to-love), Grumpy/Sunshine, Loner/Isolated, Opposites Attract, Second Chance, Tattoos &amp; Piercings</v>
      </c>
      <c r="K228" s="18" t="str">
        <f>IFERROR(__xludf.DUMMYFUNCTION("""COMPUTED_VALUE"""),"UK")</f>
        <v>UK</v>
      </c>
      <c r="L228" s="18" t="str">
        <f>IFERROR(__xludf.DUMMYFUNCTION("""COMPUTED_VALUE"""),"Level 4- Heavy sexual content, mature audiences only")</f>
        <v>Level 4- Heavy sexual content, mature audiences only</v>
      </c>
      <c r="M228" s="18" t="str">
        <f>IFERROR(__xludf.DUMMYFUNCTION("""COMPUTED_VALUE"""),"Dirty Talk, Praise Kink")</f>
        <v>Dirty Talk, Praise Kink</v>
      </c>
      <c r="N228" s="18" t="str">
        <f>IFERROR(__xludf.DUMMYFUNCTION("""COMPUTED_VALUE"""),"Series- follows one couple")</f>
        <v>Series- follows one couple</v>
      </c>
      <c r="O228" s="18" t="str">
        <f>IFERROR(__xludf.DUMMYFUNCTION("""COMPUTED_VALUE"""),"Stay With Me trilogy, this is book 1")</f>
        <v>Stay With Me trilogy, this is book 1</v>
      </c>
      <c r="P228" s="18" t="str">
        <f>IFERROR(__xludf.DUMMYFUNCTION("""COMPUTED_VALUE"""),"Swoon, Tingle, Laugh, Cry, Rage, Feel feels, Dream, Scared")</f>
        <v>Swoon, Tingle, Laugh, Cry, Rage, Feel feels, Dream, Scared</v>
      </c>
      <c r="Q228" s="18" t="str">
        <f>IFERROR(__xludf.DUMMYFUNCTION("""COMPUTED_VALUE"""),"From what I remember, attempted suicide (off-page)")</f>
        <v>From what I remember, attempted suicide (off-page)</v>
      </c>
      <c r="R228" s="19" t="str">
        <f>IFERROR(__xludf.DUMMYFUNCTION("""COMPUTED_VALUE"""),"No")</f>
        <v>No</v>
      </c>
      <c r="S228" s="20" t="str">
        <f>IFERROR(__xludf.DUMMYFUNCTION("""COMPUTED_VALUE"""),"https://www.goodreads.com/book/show/46201805-stay-with-me")</f>
        <v>https://www.goodreads.com/book/show/46201805-stay-with-me</v>
      </c>
    </row>
    <row r="229">
      <c r="A229" s="16">
        <f>IFERROR(__xludf.DUMMYFUNCTION("""COMPUTED_VALUE"""),45474.0501665162)</f>
        <v>45474.05017</v>
      </c>
      <c r="B229" s="13" t="str">
        <f>IFERROR(__xludf.DUMMYFUNCTION("""COMPUTED_VALUE"""),"Add new entry")</f>
        <v>Add new entry</v>
      </c>
      <c r="C229" s="17" t="str">
        <f>IFERROR(__xludf.DUMMYFUNCTION("""COMPUTED_VALUE"""),"Cruel Paradise")</f>
        <v>Cruel Paradise</v>
      </c>
      <c r="D229" s="18" t="str">
        <f>IFERROR(__xludf.DUMMYFUNCTION("""COMPUTED_VALUE"""),"Nicole Fox")</f>
        <v>Nicole Fox</v>
      </c>
      <c r="E229" s="18" t="str">
        <f>IFERROR(__xludf.DUMMYFUNCTION("""COMPUTED_VALUE"""),"M/F")</f>
        <v>M/F</v>
      </c>
      <c r="F229" s="18"/>
      <c r="G229" s="18"/>
      <c r="H229" s="18" t="str">
        <f>IFERROR(__xludf.DUMMYFUNCTION("""COMPUTED_VALUE"""),"Dual POV")</f>
        <v>Dual POV</v>
      </c>
      <c r="I229" s="18" t="str">
        <f>IFERROR(__xludf.DUMMYFUNCTION("""COMPUTED_VALUE"""),"Contemporary")</f>
        <v>Contemporary</v>
      </c>
      <c r="J229" s="18" t="str">
        <f>IFERROR(__xludf.DUMMYFUNCTION("""COMPUTED_VALUE"""),"Billionaires/Millionaires/Gazillionaires etc, Class Differences, Coworkers or Colleagues, Escort/Sex worker/Courtesan, Mafia/Gang/Criminal, Single Parent")</f>
        <v>Billionaires/Millionaires/Gazillionaires etc, Class Differences, Coworkers or Colleagues, Escort/Sex worker/Courtesan, Mafia/Gang/Criminal, Single Parent</v>
      </c>
      <c r="K229" s="18" t="str">
        <f>IFERROR(__xludf.DUMMYFUNCTION("""COMPUTED_VALUE"""),"North America")</f>
        <v>North America</v>
      </c>
      <c r="L229" s="18" t="str">
        <f>IFERROR(__xludf.DUMMYFUNCTION("""COMPUTED_VALUE"""),"Level 4- Heavy sexual content, mature audiences only")</f>
        <v>Level 4- Heavy sexual content, mature audiences only</v>
      </c>
      <c r="M229" s="18" t="str">
        <f>IFERROR(__xludf.DUMMYFUNCTION("""COMPUTED_VALUE"""),"Exhibitionism, Oral sex - cunnilingus, Oral sex - fellatio, PIV sex (penis in vagina), Pregnancy Fetish")</f>
        <v>Exhibitionism, Oral sex - cunnilingus, Oral sex - fellatio, PIV sex (penis in vagina), Pregnancy Fetish</v>
      </c>
      <c r="N229" s="18" t="str">
        <f>IFERROR(__xludf.DUMMYFUNCTION("""COMPUTED_VALUE"""),"Series- must be read in order")</f>
        <v>Series- must be read in order</v>
      </c>
      <c r="O229" s="18" t="str">
        <f>IFERROR(__xludf.DUMMYFUNCTION("""COMPUTED_VALUE"""),"Oryolov Bratva Book 1 ")</f>
        <v>Oryolov Bratva Book 1 </v>
      </c>
      <c r="P229" s="18" t="str">
        <f>IFERROR(__xludf.DUMMYFUNCTION("""COMPUTED_VALUE"""),"Swoon, Cry, Smolder")</f>
        <v>Swoon, Cry, Smolder</v>
      </c>
      <c r="Q229" s="18" t="str">
        <f>IFERROR(__xludf.DUMMYFUNCTION("""COMPUTED_VALUE"""),"Death, child neglect")</f>
        <v>Death, child neglect</v>
      </c>
      <c r="R229" s="19" t="str">
        <f>IFERROR(__xludf.DUMMYFUNCTION("""COMPUTED_VALUE"""),"No")</f>
        <v>No</v>
      </c>
      <c r="S229" s="20" t="str">
        <f>IFERROR(__xludf.DUMMYFUNCTION("""COMPUTED_VALUE"""),"https://www.goodreads.com/book/show/198717640-cruel-paradise")</f>
        <v>https://www.goodreads.com/book/show/198717640-cruel-paradise</v>
      </c>
    </row>
    <row r="230">
      <c r="A230" s="16">
        <f>IFERROR(__xludf.DUMMYFUNCTION("""COMPUTED_VALUE"""),44781.501369895836)</f>
        <v>44781.50137</v>
      </c>
      <c r="B230" s="13" t="str">
        <f>IFERROR(__xludf.DUMMYFUNCTION("""COMPUTED_VALUE"""),"Add new entry")</f>
        <v>Add new entry</v>
      </c>
      <c r="C230" s="17" t="str">
        <f>IFERROR(__xludf.DUMMYFUNCTION("""COMPUTED_VALUE"""),"Dark Russian Angel")</f>
        <v>Dark Russian Angel</v>
      </c>
      <c r="D230" s="18" t="str">
        <f>IFERROR(__xludf.DUMMYFUNCTION("""COMPUTED_VALUE"""),"Odette Stone")</f>
        <v>Odette Stone</v>
      </c>
      <c r="E230" s="18" t="str">
        <f>IFERROR(__xludf.DUMMYFUNCTION("""COMPUTED_VALUE"""),"M/F")</f>
        <v>M/F</v>
      </c>
      <c r="F230" s="18"/>
      <c r="G230" s="18"/>
      <c r="H230" s="18" t="str">
        <f>IFERROR(__xludf.DUMMYFUNCTION("""COMPUTED_VALUE"""),"Dual POV, First person")</f>
        <v>Dual POV, First person</v>
      </c>
      <c r="I230" s="18" t="str">
        <f>IFERROR(__xludf.DUMMYFUNCTION("""COMPUTED_VALUE"""),"Contemporary")</f>
        <v>Contemporary</v>
      </c>
      <c r="J230" s="18" t="str">
        <f>IFERROR(__xludf.DUMMYFUNCTION("""COMPUTED_VALUE"""),"Antihero/Villian/Stockholm Syndrome, Bodyguards &amp; Security, Forced Proximity, Mafia/Gang/Criminal")</f>
        <v>Antihero/Villian/Stockholm Syndrome, Bodyguards &amp; Security, Forced Proximity, Mafia/Gang/Criminal</v>
      </c>
      <c r="K230" s="18" t="str">
        <f>IFERROR(__xludf.DUMMYFUNCTION("""COMPUTED_VALUE"""),"North America")</f>
        <v>North America</v>
      </c>
      <c r="L230" s="18" t="str">
        <f>IFERROR(__xludf.DUMMYFUNCTION("""COMPUTED_VALUE"""),"Level 4- Heavy sexual content, mature audiences only")</f>
        <v>Level 4- Heavy sexual content, mature audiences only</v>
      </c>
      <c r="M230" s="18"/>
      <c r="N230" s="18"/>
      <c r="O230" s="18" t="str">
        <f>IFERROR(__xludf.DUMMYFUNCTION("""COMPUTED_VALUE"""),"Vancouver Mafia #1")</f>
        <v>Vancouver Mafia #1</v>
      </c>
      <c r="P230" s="18" t="str">
        <f>IFERROR(__xludf.DUMMYFUNCTION("""COMPUTED_VALUE"""),"Swoon, Tingle, Smolder")</f>
        <v>Swoon, Tingle, Smolder</v>
      </c>
      <c r="Q230" s="18"/>
      <c r="R230" s="19" t="str">
        <f>IFERROR(__xludf.DUMMYFUNCTION("""COMPUTED_VALUE"""),"No")</f>
        <v>No</v>
      </c>
      <c r="S230" s="20" t="str">
        <f>IFERROR(__xludf.DUMMYFUNCTION("""COMPUTED_VALUE"""),"https://www.goodreads.com/book/show/49160345-dark-russian-angel")</f>
        <v>https://www.goodreads.com/book/show/49160345-dark-russian-angel</v>
      </c>
    </row>
    <row r="231">
      <c r="A231" s="16">
        <f>IFERROR(__xludf.DUMMYFUNCTION("""COMPUTED_VALUE"""),44781.50279956019)</f>
        <v>44781.5028</v>
      </c>
      <c r="B231" s="13" t="str">
        <f>IFERROR(__xludf.DUMMYFUNCTION("""COMPUTED_VALUE"""),"Add new entry")</f>
        <v>Add new entry</v>
      </c>
      <c r="C231" s="17" t="str">
        <f>IFERROR(__xludf.DUMMYFUNCTION("""COMPUTED_VALUE"""),"Home Game")</f>
        <v>Home Game</v>
      </c>
      <c r="D231" s="18" t="str">
        <f>IFERROR(__xludf.DUMMYFUNCTION("""COMPUTED_VALUE"""),"Odette Stone")</f>
        <v>Odette Stone</v>
      </c>
      <c r="E231" s="18" t="str">
        <f>IFERROR(__xludf.DUMMYFUNCTION("""COMPUTED_VALUE"""),"M/F")</f>
        <v>M/F</v>
      </c>
      <c r="F231" s="18"/>
      <c r="G231" s="18"/>
      <c r="H231" s="18" t="str">
        <f>IFERROR(__xludf.DUMMYFUNCTION("""COMPUTED_VALUE"""),"Dual POV, First person")</f>
        <v>Dual POV, First person</v>
      </c>
      <c r="I231" s="18" t="str">
        <f>IFERROR(__xludf.DUMMYFUNCTION("""COMPUTED_VALUE"""),"Contemporary, Sports Romance")</f>
        <v>Contemporary, Sports Romance</v>
      </c>
      <c r="J231" s="18" t="str">
        <f>IFERROR(__xludf.DUMMYFUNCTION("""COMPUTED_VALUE"""),"Forced Proximity, Friends-to-lovers")</f>
        <v>Forced Proximity, Friends-to-lovers</v>
      </c>
      <c r="K231" s="18" t="str">
        <f>IFERROR(__xludf.DUMMYFUNCTION("""COMPUTED_VALUE"""),"North America")</f>
        <v>North America</v>
      </c>
      <c r="L231" s="18"/>
      <c r="M231" s="18"/>
      <c r="N231" s="18"/>
      <c r="O231" s="18" t="str">
        <f>IFERROR(__xludf.DUMMYFUNCTION("""COMPUTED_VALUE"""),"Vancouver Wolves Hockey #2")</f>
        <v>Vancouver Wolves Hockey #2</v>
      </c>
      <c r="P231" s="18" t="str">
        <f>IFERROR(__xludf.DUMMYFUNCTION("""COMPUTED_VALUE"""),"Swoon, Feel feels, Smolder")</f>
        <v>Swoon, Feel feels, Smolder</v>
      </c>
      <c r="Q231" s="18" t="str">
        <f>IFERROR(__xludf.DUMMYFUNCTION("""COMPUTED_VALUE"""),"Sexual assault, homelessness")</f>
        <v>Sexual assault, homelessness</v>
      </c>
      <c r="R231" s="19" t="str">
        <f>IFERROR(__xludf.DUMMYFUNCTION("""COMPUTED_VALUE"""),"No")</f>
        <v>No</v>
      </c>
      <c r="S231" s="20" t="str">
        <f>IFERROR(__xludf.DUMMYFUNCTION("""COMPUTED_VALUE"""),"https://www.goodreads.com/book/show/45170561-home-game")</f>
        <v>https://www.goodreads.com/book/show/45170561-home-game</v>
      </c>
    </row>
    <row r="232">
      <c r="A232" s="16">
        <f>IFERROR(__xludf.DUMMYFUNCTION("""COMPUTED_VALUE"""),44781.5039697801)</f>
        <v>44781.50397</v>
      </c>
      <c r="B232" s="13" t="str">
        <f>IFERROR(__xludf.DUMMYFUNCTION("""COMPUTED_VALUE"""),"Add new entry")</f>
        <v>Add new entry</v>
      </c>
      <c r="C232" s="17" t="str">
        <f>IFERROR(__xludf.DUMMYFUNCTION("""COMPUTED_VALUE"""),"The Penalty Box")</f>
        <v>The Penalty Box</v>
      </c>
      <c r="D232" s="18" t="str">
        <f>IFERROR(__xludf.DUMMYFUNCTION("""COMPUTED_VALUE"""),"Odette Stone")</f>
        <v>Odette Stone</v>
      </c>
      <c r="E232" s="18" t="str">
        <f>IFERROR(__xludf.DUMMYFUNCTION("""COMPUTED_VALUE"""),"M/F")</f>
        <v>M/F</v>
      </c>
      <c r="F232" s="18"/>
      <c r="G232" s="18"/>
      <c r="H232" s="18" t="str">
        <f>IFERROR(__xludf.DUMMYFUNCTION("""COMPUTED_VALUE"""),"Dual POV, First person")</f>
        <v>Dual POV, First person</v>
      </c>
      <c r="I232" s="18" t="str">
        <f>IFERROR(__xludf.DUMMYFUNCTION("""COMPUTED_VALUE"""),"Contemporary, Sports Romance")</f>
        <v>Contemporary, Sports Romance</v>
      </c>
      <c r="J232" s="18" t="str">
        <f>IFERROR(__xludf.DUMMYFUNCTION("""COMPUTED_VALUE"""),"Fake Relationship, Forced Proximity, Marriage of Convenience (or arranged marriage)")</f>
        <v>Fake Relationship, Forced Proximity, Marriage of Convenience (or arranged marriage)</v>
      </c>
      <c r="K232" s="18" t="str">
        <f>IFERROR(__xludf.DUMMYFUNCTION("""COMPUTED_VALUE"""),"North America")</f>
        <v>North America</v>
      </c>
      <c r="L232" s="18" t="str">
        <f>IFERROR(__xludf.DUMMYFUNCTION("""COMPUTED_VALUE"""),"Level 4- Heavy sexual content, mature audiences only")</f>
        <v>Level 4- Heavy sexual content, mature audiences only</v>
      </c>
      <c r="M232" s="18"/>
      <c r="N232" s="18"/>
      <c r="O232" s="18" t="str">
        <f>IFERROR(__xludf.DUMMYFUNCTION("""COMPUTED_VALUE"""),"Vancouver Wolves #2")</f>
        <v>Vancouver Wolves #2</v>
      </c>
      <c r="P232" s="18" t="str">
        <f>IFERROR(__xludf.DUMMYFUNCTION("""COMPUTED_VALUE"""),"Swoon, Tingle, Smolder")</f>
        <v>Swoon, Tingle, Smolder</v>
      </c>
      <c r="Q232" s="18"/>
      <c r="R232" s="19" t="str">
        <f>IFERROR(__xludf.DUMMYFUNCTION("""COMPUTED_VALUE"""),"No")</f>
        <v>No</v>
      </c>
      <c r="S232" s="20" t="str">
        <f>IFERROR(__xludf.DUMMYFUNCTION("""COMPUTED_VALUE"""),"https://www.goodreads.com/book/show/49962326-the-penalty-box")</f>
        <v>https://www.goodreads.com/book/show/49962326-the-penalty-box</v>
      </c>
    </row>
    <row r="233">
      <c r="A233" s="16">
        <f>IFERROR(__xludf.DUMMYFUNCTION("""COMPUTED_VALUE"""),44781.5055275463)</f>
        <v>44781.50553</v>
      </c>
      <c r="B233" s="13" t="str">
        <f>IFERROR(__xludf.DUMMYFUNCTION("""COMPUTED_VALUE"""),"Add new entry")</f>
        <v>Add new entry</v>
      </c>
      <c r="C233" s="17" t="str">
        <f>IFERROR(__xludf.DUMMYFUNCTION("""COMPUTED_VALUE"""),"Heart's Prisoner")</f>
        <v>Heart's Prisoner</v>
      </c>
      <c r="D233" s="18" t="str">
        <f>IFERROR(__xludf.DUMMYFUNCTION("""COMPUTED_VALUE"""),"Olivia Riley")</f>
        <v>Olivia Riley</v>
      </c>
      <c r="E233" s="18" t="str">
        <f>IFERROR(__xludf.DUMMYFUNCTION("""COMPUTED_VALUE"""),"M/F")</f>
        <v>M/F</v>
      </c>
      <c r="F233" s="18"/>
      <c r="G233" s="18"/>
      <c r="H233" s="18"/>
      <c r="I233" s="18" t="str">
        <f>IFERROR(__xludf.DUMMYFUNCTION("""COMPUTED_VALUE"""),"Science Fiction &amp; Alien")</f>
        <v>Science Fiction &amp; Alien</v>
      </c>
      <c r="J233" s="18" t="str">
        <f>IFERROR(__xludf.DUMMYFUNCTION("""COMPUTED_VALUE"""),"Enemies-to-lovers (or dislike-to-love), Medical- Doctor/Nurse/Vet etc, Slow Burn")</f>
        <v>Enemies-to-lovers (or dislike-to-love), Medical- Doctor/Nurse/Vet etc, Slow Burn</v>
      </c>
      <c r="K233" s="18"/>
      <c r="L233" s="18" t="str">
        <f>IFERROR(__xludf.DUMMYFUNCTION("""COMPUTED_VALUE"""),"Level 3- Sexual content in a few chapters")</f>
        <v>Level 3- Sexual content in a few chapters</v>
      </c>
      <c r="M233" s="18"/>
      <c r="N233" s="18"/>
      <c r="O233" s="18" t="str">
        <f>IFERROR(__xludf.DUMMYFUNCTION("""COMPUTED_VALUE"""),"Dark World Mates #1")</f>
        <v>Dark World Mates #1</v>
      </c>
      <c r="P233" s="18" t="str">
        <f>IFERROR(__xludf.DUMMYFUNCTION("""COMPUTED_VALUE"""),"Swoon, Feel feels")</f>
        <v>Swoon, Feel feels</v>
      </c>
      <c r="Q233" s="18" t="str">
        <f>IFERROR(__xludf.DUMMYFUNCTION("""COMPUTED_VALUE"""),"imprisonment of MMC")</f>
        <v>imprisonment of MMC</v>
      </c>
      <c r="R233" s="19" t="str">
        <f>IFERROR(__xludf.DUMMYFUNCTION("""COMPUTED_VALUE"""),"No")</f>
        <v>No</v>
      </c>
      <c r="S233" s="20" t="str">
        <f>IFERROR(__xludf.DUMMYFUNCTION("""COMPUTED_VALUE"""),"https://www.goodreads.com/book/show/54592300-heart-s-prisoner")</f>
        <v>https://www.goodreads.com/book/show/54592300-heart-s-prisoner</v>
      </c>
    </row>
    <row r="234">
      <c r="A234" s="16">
        <f>IFERROR(__xludf.DUMMYFUNCTION("""COMPUTED_VALUE"""),44781.50719113426)</f>
        <v>44781.50719</v>
      </c>
      <c r="B234" s="13" t="str">
        <f>IFERROR(__xludf.DUMMYFUNCTION("""COMPUTED_VALUE"""),"Add new entry")</f>
        <v>Add new entry</v>
      </c>
      <c r="C234" s="17" t="str">
        <f>IFERROR(__xludf.DUMMYFUNCTION("""COMPUTED_VALUE"""),"Simple Jess")</f>
        <v>Simple Jess</v>
      </c>
      <c r="D234" s="18" t="str">
        <f>IFERROR(__xludf.DUMMYFUNCTION("""COMPUTED_VALUE"""),"Pamela Morsi")</f>
        <v>Pamela Morsi</v>
      </c>
      <c r="E234" s="18" t="str">
        <f>IFERROR(__xludf.DUMMYFUNCTION("""COMPUTED_VALUE"""),"M/F")</f>
        <v>M/F</v>
      </c>
      <c r="F234" s="18" t="str">
        <f>IFERROR(__xludf.DUMMYFUNCTION("""COMPUTED_VALUE"""),"Neurodivergent (Autism, ADHD, dyspraxia, dyslexia, etc)")</f>
        <v>Neurodivergent (Autism, ADHD, dyspraxia, dyslexia, etc)</v>
      </c>
      <c r="G234" s="18"/>
      <c r="H234" s="18" t="str">
        <f>IFERROR(__xludf.DUMMYFUNCTION("""COMPUTED_VALUE"""),"Third person")</f>
        <v>Third person</v>
      </c>
      <c r="I234" s="18" t="str">
        <f>IFERROR(__xludf.DUMMYFUNCTION("""COMPUTED_VALUE"""),"Historical Romance")</f>
        <v>Historical Romance</v>
      </c>
      <c r="J234" s="18" t="str">
        <f>IFERROR(__xludf.DUMMYFUNCTION("""COMPUTED_VALUE"""),"Angst, Blue Collar/Farmer/Rancher etc, Relationship Coach-  (ie; Teach me how to kiss), Loner/Isolated, Single Parent, Sweet MC- beta hero/kindhearted heroine/etc")</f>
        <v>Angst, Blue Collar/Farmer/Rancher etc, Relationship Coach-  (ie; Teach me how to kiss), Loner/Isolated, Single Parent, Sweet MC- beta hero/kindhearted heroine/etc</v>
      </c>
      <c r="K234" s="18"/>
      <c r="L234" s="18" t="str">
        <f>IFERROR(__xludf.DUMMYFUNCTION("""COMPUTED_VALUE"""),"Level 3- Sexual content in a few chapters")</f>
        <v>Level 3- Sexual content in a few chapters</v>
      </c>
      <c r="M234" s="18"/>
      <c r="N234" s="18"/>
      <c r="O234" s="18" t="str">
        <f>IFERROR(__xludf.DUMMYFUNCTION("""COMPUTED_VALUE"""),"Tales From Marrying Stone #2")</f>
        <v>Tales From Marrying Stone #2</v>
      </c>
      <c r="P234" s="18"/>
      <c r="Q234" s="18" t="str">
        <f>IFERROR(__xludf.DUMMYFUNCTION("""COMPUTED_VALUE"""),"dubcon/rape")</f>
        <v>dubcon/rape</v>
      </c>
      <c r="R234" s="19" t="str">
        <f>IFERROR(__xludf.DUMMYFUNCTION("""COMPUTED_VALUE"""),"No")</f>
        <v>No</v>
      </c>
      <c r="S234" s="20" t="str">
        <f>IFERROR(__xludf.DUMMYFUNCTION("""COMPUTED_VALUE"""),"https://www.goodreads.com/book/show/49493150-simple-jess")</f>
        <v>https://www.goodreads.com/book/show/49493150-simple-jess</v>
      </c>
    </row>
    <row r="235">
      <c r="A235" s="16">
        <f>IFERROR(__xludf.DUMMYFUNCTION("""COMPUTED_VALUE"""),45329.97330131944)</f>
        <v>45329.9733</v>
      </c>
      <c r="B235" s="13" t="str">
        <f>IFERROR(__xludf.DUMMYFUNCTION("""COMPUTED_VALUE"""),"Add new entry")</f>
        <v>Add new entry</v>
      </c>
      <c r="C235" s="17" t="str">
        <f>IFERROR(__xludf.DUMMYFUNCTION("""COMPUTED_VALUE"""),"Geordie")</f>
        <v>Geordie</v>
      </c>
      <c r="D235" s="18" t="str">
        <f>IFERROR(__xludf.DUMMYFUNCTION("""COMPUTED_VALUE"""),"Pax Sinclair")</f>
        <v>Pax Sinclair</v>
      </c>
      <c r="E235" s="18" t="str">
        <f>IFERROR(__xludf.DUMMYFUNCTION("""COMPUTED_VALUE"""),"M/F")</f>
        <v>M/F</v>
      </c>
      <c r="F235" s="18"/>
      <c r="G235" s="18" t="str">
        <f>IFERROR(__xludf.DUMMYFUNCTION("""COMPUTED_VALUE"""),"scottish, enemies to lovers, pregnancy romance, well developed characters, steamy, twisty ")</f>
        <v>scottish, enemies to lovers, pregnancy romance, well developed characters, steamy, twisty </v>
      </c>
      <c r="H235" s="18" t="str">
        <f>IFERROR(__xludf.DUMMYFUNCTION("""COMPUTED_VALUE"""),"Dual POV, First person")</f>
        <v>Dual POV, First person</v>
      </c>
      <c r="I235" s="18" t="str">
        <f>IFERROR(__xludf.DUMMYFUNCTION("""COMPUTED_VALUE"""),"Contemporary, Multicultural/Interracial")</f>
        <v>Contemporary, Multicultural/Interracial</v>
      </c>
      <c r="J235" s="18" t="str">
        <f>IFERROR(__xludf.DUMMYFUNCTION("""COMPUTED_VALUE"""),"Billionaires/Millionaires/Gazillionaires etc, Enemies-to-lovers (or dislike-to-love), Foodies- Chef/Baker/Bartender etc, Love Triangle, Slow Burn")</f>
        <v>Billionaires/Millionaires/Gazillionaires etc, Enemies-to-lovers (or dislike-to-love), Foodies- Chef/Baker/Bartender etc, Love Triangle, Slow Burn</v>
      </c>
      <c r="K235" s="18" t="str">
        <f>IFERROR(__xludf.DUMMYFUNCTION("""COMPUTED_VALUE"""),"Europe, North America")</f>
        <v>Europe, North America</v>
      </c>
      <c r="L235" s="18" t="str">
        <f>IFERROR(__xludf.DUMMYFUNCTION("""COMPUTED_VALUE"""),"Level 3- Sexual content in a few chapters")</f>
        <v>Level 3- Sexual content in a few chapters</v>
      </c>
      <c r="M235" s="18" t="str">
        <f>IFERROR(__xludf.DUMMYFUNCTION("""COMPUTED_VALUE"""),"Anal sex, Oral sex - cunnilingus, Oral sex - fellatio")</f>
        <v>Anal sex, Oral sex - cunnilingus, Oral sex - fellatio</v>
      </c>
      <c r="N235" s="18" t="str">
        <f>IFERROR(__xludf.DUMMYFUNCTION("""COMPUTED_VALUE"""),"Series- can be read as standalones")</f>
        <v>Series- can be read as standalones</v>
      </c>
      <c r="O235" s="18" t="str">
        <f>IFERROR(__xludf.DUMMYFUNCTION("""COMPUTED_VALUE"""),"The Scotsman's Kilt, Book 2")</f>
        <v>The Scotsman's Kilt, Book 2</v>
      </c>
      <c r="P235" s="18" t="str">
        <f>IFERROR(__xludf.DUMMYFUNCTION("""COMPUTED_VALUE"""),"Swoon, Laugh, Cry, Smolder")</f>
        <v>Swoon, Laugh, Cry, Smolder</v>
      </c>
      <c r="Q235" s="18"/>
      <c r="R235" s="19" t="str">
        <f>IFERROR(__xludf.DUMMYFUNCTION("""COMPUTED_VALUE"""),"No")</f>
        <v>No</v>
      </c>
      <c r="S235" s="20" t="str">
        <f>IFERROR(__xludf.DUMMYFUNCTION("""COMPUTED_VALUE"""),"https://www.goodreads.com/book/show/203048501-geordie")</f>
        <v>https://www.goodreads.com/book/show/203048501-geordie</v>
      </c>
    </row>
    <row r="236">
      <c r="A236" s="16">
        <f>IFERROR(__xludf.DUMMYFUNCTION("""COMPUTED_VALUE"""),45357.35647773148)</f>
        <v>45357.35648</v>
      </c>
      <c r="B236" s="13" t="str">
        <f>IFERROR(__xludf.DUMMYFUNCTION("""COMPUTED_VALUE"""),"Add new entry")</f>
        <v>Add new entry</v>
      </c>
      <c r="C236" s="17" t="str">
        <f>IFERROR(__xludf.DUMMYFUNCTION("""COMPUTED_VALUE"""),"Credence")</f>
        <v>Credence</v>
      </c>
      <c r="D236" s="18" t="str">
        <f>IFERROR(__xludf.DUMMYFUNCTION("""COMPUTED_VALUE"""),"Penelope Douglas")</f>
        <v>Penelope Douglas</v>
      </c>
      <c r="E236" s="18" t="str">
        <f>IFERROR(__xludf.DUMMYFUNCTION("""COMPUTED_VALUE"""),"M/F")</f>
        <v>M/F</v>
      </c>
      <c r="F236" s="18" t="str">
        <f>IFERROR(__xludf.DUMMYFUNCTION("""COMPUTED_VALUE"""),"Neurodivergent (Autism, ADHD, dyspraxia, dyslexia, etc)")</f>
        <v>Neurodivergent (Autism, ADHD, dyspraxia, dyslexia, etc)</v>
      </c>
      <c r="G236" s="18" t="str">
        <f>IFERROR(__xludf.DUMMYFUNCTION("""COMPUTED_VALUE"""),"FMC Tiernan is initially an emotional wreck because her parents killed themselves together (you’ll find out why in the first few chapters) and warning, she's just barely an adult when a lot of the spicy stuff happens. Can’t really talk about the male main"&amp;" character, because you won’t really find out which one it is till a good chunk fo the book is done. Character development and time will solve everything, though!")</f>
        <v>FMC Tiernan is initially an emotional wreck because her parents killed themselves together (you’ll find out why in the first few chapters) and warning, she's just barely an adult when a lot of the spicy stuff happens. Can’t really talk about the male main character, because you won’t really find out which one it is till a good chunk fo the book is done. Character development and time will solve everything, though!</v>
      </c>
      <c r="H236" s="18" t="str">
        <f>IFERROR(__xludf.DUMMYFUNCTION("""COMPUTED_VALUE"""),"Single POV, Switches")</f>
        <v>Single POV, Switches</v>
      </c>
      <c r="I236" s="18" t="str">
        <f>IFERROR(__xludf.DUMMYFUNCTION("""COMPUTED_VALUE"""),"Erotic Romance, Polyamorous, Young Adult (YA)")</f>
        <v>Erotic Romance, Polyamorous, Young Adult (YA)</v>
      </c>
      <c r="J236" s="18" t="str">
        <f>IFERROR(__xludf.DUMMYFUNCTION("""COMPUTED_VALUE"""),"Age Difference")</f>
        <v>Age Difference</v>
      </c>
      <c r="K236" s="18"/>
      <c r="L236" s="18" t="str">
        <f>IFERROR(__xludf.DUMMYFUNCTION("""COMPUTED_VALUE"""),"Level 4- Heavy sexual content, mature audiences only")</f>
        <v>Level 4- Heavy sexual content, mature audiences only</v>
      </c>
      <c r="M236" s="18" t="str">
        <f>IFERROR(__xludf.DUMMYFUNCTION("""COMPUTED_VALUE"""),"Double Penetration")</f>
        <v>Double Penetration</v>
      </c>
      <c r="N236" s="18" t="str">
        <f>IFERROR(__xludf.DUMMYFUNCTION("""COMPUTED_VALUE"""),"Standalone (not part of a series)")</f>
        <v>Standalone (not part of a series)</v>
      </c>
      <c r="O236" s="18"/>
      <c r="P236" s="18" t="str">
        <f>IFERROR(__xludf.DUMMYFUNCTION("""COMPUTED_VALUE"""),"Tingle, Laugh, Feel feels")</f>
        <v>Tingle, Laugh, Feel feels</v>
      </c>
      <c r="Q236" s="18" t="str">
        <f>IFERROR(__xludf.DUMMYFUNCTION("""COMPUTED_VALUE"""),"The female main character is a bit young, and she has sex with multiple guys in the story; some of which are a bit old.")</f>
        <v>The female main character is a bit young, and she has sex with multiple guys in the story; some of which are a bit old.</v>
      </c>
      <c r="R236" s="19" t="str">
        <f>IFERROR(__xludf.DUMMYFUNCTION("""COMPUTED_VALUE"""),"No")</f>
        <v>No</v>
      </c>
      <c r="S236" s="20" t="str">
        <f>IFERROR(__xludf.DUMMYFUNCTION("""COMPUTED_VALUE"""),"https://www.goodreads.com/book/show/49084724-credence")</f>
        <v>https://www.goodreads.com/book/show/49084724-credence</v>
      </c>
    </row>
    <row r="237">
      <c r="A237" s="16">
        <f>IFERROR(__xludf.DUMMYFUNCTION("""COMPUTED_VALUE"""),44781.51000113425)</f>
        <v>44781.51</v>
      </c>
      <c r="B237" s="13" t="str">
        <f>IFERROR(__xludf.DUMMYFUNCTION("""COMPUTED_VALUE"""),"Add new entry")</f>
        <v>Add new entry</v>
      </c>
      <c r="C237" s="17" t="str">
        <f>IFERROR(__xludf.DUMMYFUNCTION("""COMPUTED_VALUE"""),"Crazy for Loving You")</f>
        <v>Crazy for Loving You</v>
      </c>
      <c r="D237" s="18" t="str">
        <f>IFERROR(__xludf.DUMMYFUNCTION("""COMPUTED_VALUE"""),"Pippa Grant")</f>
        <v>Pippa Grant</v>
      </c>
      <c r="E237" s="18" t="str">
        <f>IFERROR(__xludf.DUMMYFUNCTION("""COMPUTED_VALUE"""),"M/F")</f>
        <v>M/F</v>
      </c>
      <c r="F237" s="18"/>
      <c r="G237" s="18"/>
      <c r="H237" s="18"/>
      <c r="I237" s="18" t="str">
        <f>IFERROR(__xludf.DUMMYFUNCTION("""COMPUTED_VALUE"""),"Contemporary, Romantic Comedy")</f>
        <v>Contemporary, Romantic Comedy</v>
      </c>
      <c r="J237" s="18" t="str">
        <f>IFERROR(__xludf.DUMMYFUNCTION("""COMPUTED_VALUE"""),"Billionaires/Millionaires/Gazillionaires etc, Opposites Attract")</f>
        <v>Billionaires/Millionaires/Gazillionaires etc, Opposites Attract</v>
      </c>
      <c r="K237" s="18"/>
      <c r="L237" s="18" t="str">
        <f>IFERROR(__xludf.DUMMYFUNCTION("""COMPUTED_VALUE"""),"Level 3- Sexual content in a few chapters")</f>
        <v>Level 3- Sexual content in a few chapters</v>
      </c>
      <c r="M237" s="18"/>
      <c r="N237" s="18"/>
      <c r="O237" s="18"/>
      <c r="P237" s="18" t="str">
        <f>IFERROR(__xludf.DUMMYFUNCTION("""COMPUTED_VALUE"""),"Swoon, Laugh")</f>
        <v>Swoon, Laugh</v>
      </c>
      <c r="Q237" s="18"/>
      <c r="R237" s="19" t="str">
        <f>IFERROR(__xludf.DUMMYFUNCTION("""COMPUTED_VALUE"""),"No")</f>
        <v>No</v>
      </c>
      <c r="S237" s="20" t="str">
        <f>IFERROR(__xludf.DUMMYFUNCTION("""COMPUTED_VALUE"""),"https://www.goodreads.com/book/show/48572514-crazy-for-loving-you")</f>
        <v>https://www.goodreads.com/book/show/48572514-crazy-for-loving-you</v>
      </c>
    </row>
    <row r="238">
      <c r="A238" s="16">
        <f>IFERROR(__xludf.DUMMYFUNCTION("""COMPUTED_VALUE"""),44781.511457615736)</f>
        <v>44781.51146</v>
      </c>
      <c r="B238" s="13" t="str">
        <f>IFERROR(__xludf.DUMMYFUNCTION("""COMPUTED_VALUE"""),"Add new entry")</f>
        <v>Add new entry</v>
      </c>
      <c r="C238" s="17" t="str">
        <f>IFERROR(__xludf.DUMMYFUNCTION("""COMPUTED_VALUE"""),"Hosed")</f>
        <v>Hosed</v>
      </c>
      <c r="D238" s="18" t="str">
        <f>IFERROR(__xludf.DUMMYFUNCTION("""COMPUTED_VALUE"""),"Pippa Grant &amp; Lili Valente")</f>
        <v>Pippa Grant &amp; Lili Valente</v>
      </c>
      <c r="E238" s="18" t="str">
        <f>IFERROR(__xludf.DUMMYFUNCTION("""COMPUTED_VALUE"""),"M/F")</f>
        <v>M/F</v>
      </c>
      <c r="F238" s="18"/>
      <c r="G238" s="18"/>
      <c r="H238" s="18" t="str">
        <f>IFERROR(__xludf.DUMMYFUNCTION("""COMPUTED_VALUE"""),"Single POV, First person")</f>
        <v>Single POV, First person</v>
      </c>
      <c r="I238" s="18" t="str">
        <f>IFERROR(__xludf.DUMMYFUNCTION("""COMPUTED_VALUE"""),"Contemporary, Romantic Comedy")</f>
        <v>Contemporary, Romantic Comedy</v>
      </c>
      <c r="J238" s="18" t="str">
        <f>IFERROR(__xludf.DUMMYFUNCTION("""COMPUTED_VALUE"""),"First Responders- Firefighter/Police etc, Geek/Nerd/Misfit/Genius, Neighbors-to-lovers, Small Town")</f>
        <v>First Responders- Firefighter/Police etc, Geek/Nerd/Misfit/Genius, Neighbors-to-lovers, Small Town</v>
      </c>
      <c r="K238" s="18"/>
      <c r="L238" s="18" t="str">
        <f>IFERROR(__xludf.DUMMYFUNCTION("""COMPUTED_VALUE"""),"Level 3- Sexual content in a few chapters")</f>
        <v>Level 3- Sexual content in a few chapters</v>
      </c>
      <c r="M238" s="18"/>
      <c r="N238" s="18"/>
      <c r="O238" s="18" t="str">
        <f>IFERROR(__xludf.DUMMYFUNCTION("""COMPUTED_VALUE"""),"Happy Cat #1")</f>
        <v>Happy Cat #1</v>
      </c>
      <c r="P238" s="18" t="str">
        <f>IFERROR(__xludf.DUMMYFUNCTION("""COMPUTED_VALUE"""),"Laugh")</f>
        <v>Laugh</v>
      </c>
      <c r="Q238" s="18"/>
      <c r="R238" s="19" t="str">
        <f>IFERROR(__xludf.DUMMYFUNCTION("""COMPUTED_VALUE"""),"No")</f>
        <v>No</v>
      </c>
      <c r="S238" s="20" t="str">
        <f>IFERROR(__xludf.DUMMYFUNCTION("""COMPUTED_VALUE"""),"https://www.goodreads.com/book/show/43448175-hosed")</f>
        <v>https://www.goodreads.com/book/show/43448175-hosed</v>
      </c>
    </row>
    <row r="239">
      <c r="A239" s="16">
        <f>IFERROR(__xludf.DUMMYFUNCTION("""COMPUTED_VALUE"""),44781.51346299768)</f>
        <v>44781.51346</v>
      </c>
      <c r="B239" s="13" t="str">
        <f>IFERROR(__xludf.DUMMYFUNCTION("""COMPUTED_VALUE"""),"Add new entry")</f>
        <v>Add new entry</v>
      </c>
      <c r="C239" s="17" t="str">
        <f>IFERROR(__xludf.DUMMYFUNCTION("""COMPUTED_VALUE"""),"While You Were Creeping")</f>
        <v>While You Were Creeping</v>
      </c>
      <c r="D239" s="18" t="str">
        <f>IFERROR(__xludf.DUMMYFUNCTION("""COMPUTED_VALUE"""),"Poppy Rhys")</f>
        <v>Poppy Rhys</v>
      </c>
      <c r="E239" s="18" t="str">
        <f>IFERROR(__xludf.DUMMYFUNCTION("""COMPUTED_VALUE"""),"M/F")</f>
        <v>M/F</v>
      </c>
      <c r="F239" s="18"/>
      <c r="G239" s="18"/>
      <c r="H239" s="18" t="str">
        <f>IFERROR(__xludf.DUMMYFUNCTION("""COMPUTED_VALUE"""),"Dual POV")</f>
        <v>Dual POV</v>
      </c>
      <c r="I239" s="18" t="str">
        <f>IFERROR(__xludf.DUMMYFUNCTION("""COMPUTED_VALUE"""),"Science Fiction &amp; Alien")</f>
        <v>Science Fiction &amp; Alien</v>
      </c>
      <c r="J239" s="18" t="str">
        <f>IFERROR(__xludf.DUMMYFUNCTION("""COMPUTED_VALUE"""),"Creatures or Monsters- Dragon/Orc/Fae/etc, Fake Relationship, Forced Proximity, Holidays, Novella or Short Story, Retellings- Fairytale/Folklore/Mythology, Teacher/Writer/Librarian")</f>
        <v>Creatures or Monsters- Dragon/Orc/Fae/etc, Fake Relationship, Forced Proximity, Holidays, Novella or Short Story, Retellings- Fairytale/Folklore/Mythology, Teacher/Writer/Librarian</v>
      </c>
      <c r="K239" s="18"/>
      <c r="L239" s="18" t="str">
        <f>IFERROR(__xludf.DUMMYFUNCTION("""COMPUTED_VALUE"""),"Level 3- Sexual content in a few chapters")</f>
        <v>Level 3- Sexual content in a few chapters</v>
      </c>
      <c r="M239" s="18"/>
      <c r="N239" s="18"/>
      <c r="O239" s="18" t="str">
        <f>IFERROR(__xludf.DUMMYFUNCTION("""COMPUTED_VALUE"""),"Women of Dor Nye ")</f>
        <v>Women of Dor Nye </v>
      </c>
      <c r="P239" s="18"/>
      <c r="Q239" s="18"/>
      <c r="R239" s="19" t="str">
        <f>IFERROR(__xludf.DUMMYFUNCTION("""COMPUTED_VALUE"""),"No")</f>
        <v>No</v>
      </c>
      <c r="S239" s="20" t="str">
        <f>IFERROR(__xludf.DUMMYFUNCTION("""COMPUTED_VALUE"""),"https://www.goodreads.com/book/show/56381931-while-you-were-creeping")</f>
        <v>https://www.goodreads.com/book/show/56381931-while-you-were-creeping</v>
      </c>
    </row>
    <row r="240">
      <c r="A240" s="16">
        <f>IFERROR(__xludf.DUMMYFUNCTION("""COMPUTED_VALUE"""),44781.515723668985)</f>
        <v>44781.51572</v>
      </c>
      <c r="B240" s="13" t="str">
        <f>IFERROR(__xludf.DUMMYFUNCTION("""COMPUTED_VALUE"""),"Add new entry")</f>
        <v>Add new entry</v>
      </c>
      <c r="C240" s="17" t="str">
        <f>IFERROR(__xludf.DUMMYFUNCTION("""COMPUTED_VALUE"""),"The Last Hour of Gann")</f>
        <v>The Last Hour of Gann</v>
      </c>
      <c r="D240" s="18" t="str">
        <f>IFERROR(__xludf.DUMMYFUNCTION("""COMPUTED_VALUE"""),"R. Lee Smith")</f>
        <v>R. Lee Smith</v>
      </c>
      <c r="E240" s="18" t="str">
        <f>IFERROR(__xludf.DUMMYFUNCTION("""COMPUTED_VALUE"""),"M/F")</f>
        <v>M/F</v>
      </c>
      <c r="F240" s="18"/>
      <c r="G240" s="18"/>
      <c r="H240" s="18" t="str">
        <f>IFERROR(__xludf.DUMMYFUNCTION("""COMPUTED_VALUE"""),"Dual POV")</f>
        <v>Dual POV</v>
      </c>
      <c r="I240" s="18" t="str">
        <f>IFERROR(__xludf.DUMMYFUNCTION("""COMPUTED_VALUE"""),"Dark, Science Fiction &amp; Alien")</f>
        <v>Dark, Science Fiction &amp; Alien</v>
      </c>
      <c r="J240" s="18" t="str">
        <f>IFERROR(__xludf.DUMMYFUNCTION("""COMPUTED_VALUE"""),"Enemies-to-lovers (or dislike-to-love), Forced Proximity")</f>
        <v>Enemies-to-lovers (or dislike-to-love), Forced Proximity</v>
      </c>
      <c r="K240" s="18"/>
      <c r="L240" s="18" t="str">
        <f>IFERROR(__xludf.DUMMYFUNCTION("""COMPUTED_VALUE"""),"Level 4- Heavy sexual content, mature audiences only")</f>
        <v>Level 4- Heavy sexual content, mature audiences only</v>
      </c>
      <c r="M240" s="18"/>
      <c r="N240" s="18" t="str">
        <f>IFERROR(__xludf.DUMMYFUNCTION("""COMPUTED_VALUE"""),"Standalone (not part of a series)")</f>
        <v>Standalone (not part of a series)</v>
      </c>
      <c r="O240" s="18"/>
      <c r="P240" s="18" t="str">
        <f>IFERROR(__xludf.DUMMYFUNCTION("""COMPUTED_VALUE"""),"Swoon, Cry, Rage, Feel feels, Learn, Transported")</f>
        <v>Swoon, Cry, Rage, Feel feels, Learn, Transported</v>
      </c>
      <c r="Q240" s="18" t="str">
        <f>IFERROR(__xludf.DUMMYFUNCTION("""COMPUTED_VALUE"""),"Rape, violence")</f>
        <v>Rape, violence</v>
      </c>
      <c r="R240" s="19" t="str">
        <f>IFERROR(__xludf.DUMMYFUNCTION("""COMPUTED_VALUE"""),"No")</f>
        <v>No</v>
      </c>
      <c r="S240" s="20" t="str">
        <f>IFERROR(__xludf.DUMMYFUNCTION("""COMPUTED_VALUE"""),"https://www.goodreads.com/book/show/18589656-the-last-hour-of-gann")</f>
        <v>https://www.goodreads.com/book/show/18589656-the-last-hour-of-gann</v>
      </c>
    </row>
    <row r="241">
      <c r="A241" s="16">
        <f>IFERROR(__xludf.DUMMYFUNCTION("""COMPUTED_VALUE"""),44781.516973020836)</f>
        <v>44781.51697</v>
      </c>
      <c r="B241" s="13" t="str">
        <f>IFERROR(__xludf.DUMMYFUNCTION("""COMPUTED_VALUE"""),"Add new entry")</f>
        <v>Add new entry</v>
      </c>
      <c r="C241" s="17" t="str">
        <f>IFERROR(__xludf.DUMMYFUNCTION("""COMPUTED_VALUE"""),"Cottonwood")</f>
        <v>Cottonwood</v>
      </c>
      <c r="D241" s="18" t="str">
        <f>IFERROR(__xludf.DUMMYFUNCTION("""COMPUTED_VALUE"""),"R. Lee Smith")</f>
        <v>R. Lee Smith</v>
      </c>
      <c r="E241" s="18" t="str">
        <f>IFERROR(__xludf.DUMMYFUNCTION("""COMPUTED_VALUE"""),"M/F")</f>
        <v>M/F</v>
      </c>
      <c r="F241" s="18"/>
      <c r="G241" s="18"/>
      <c r="H241" s="18" t="str">
        <f>IFERROR(__xludf.DUMMYFUNCTION("""COMPUTED_VALUE"""),"Single POV")</f>
        <v>Single POV</v>
      </c>
      <c r="I241" s="18" t="str">
        <f>IFERROR(__xludf.DUMMYFUNCTION("""COMPUTED_VALUE"""),"Science Fiction &amp; Alien")</f>
        <v>Science Fiction &amp; Alien</v>
      </c>
      <c r="J241" s="18" t="str">
        <f>IFERROR(__xludf.DUMMYFUNCTION("""COMPUTED_VALUE"""),"Angst, Creatures or Monsters- Dragon/Orc/Fae/etc, Dystopian, Forbidden or Taboo, Slow Burn")</f>
        <v>Angst, Creatures or Monsters- Dragon/Orc/Fae/etc, Dystopian, Forbidden or Taboo, Slow Burn</v>
      </c>
      <c r="K241" s="18"/>
      <c r="L241" s="18" t="str">
        <f>IFERROR(__xludf.DUMMYFUNCTION("""COMPUTED_VALUE"""),"Level 3- Sexual content in a few chapters")</f>
        <v>Level 3- Sexual content in a few chapters</v>
      </c>
      <c r="M241" s="18"/>
      <c r="N241" s="18" t="str">
        <f>IFERROR(__xludf.DUMMYFUNCTION("""COMPUTED_VALUE"""),"Standalone (not part of a series)")</f>
        <v>Standalone (not part of a series)</v>
      </c>
      <c r="O241" s="18"/>
      <c r="P241" s="18" t="str">
        <f>IFERROR(__xludf.DUMMYFUNCTION("""COMPUTED_VALUE"""),"Cry, Rage, Feel feels")</f>
        <v>Cry, Rage, Feel feels</v>
      </c>
      <c r="Q241" s="18" t="str">
        <f>IFERROR(__xludf.DUMMYFUNCTION("""COMPUTED_VALUE"""),"Violence, child death, attempted assault, physical abuse, death of dog")</f>
        <v>Violence, child death, attempted assault, physical abuse, death of dog</v>
      </c>
      <c r="R241" s="19" t="str">
        <f>IFERROR(__xludf.DUMMYFUNCTION("""COMPUTED_VALUE"""),"No")</f>
        <v>No</v>
      </c>
      <c r="S241" s="20" t="str">
        <f>IFERROR(__xludf.DUMMYFUNCTION("""COMPUTED_VALUE"""),"https://www.goodreads.com/book/show/17563213-cottonwood")</f>
        <v>https://www.goodreads.com/book/show/17563213-cottonwood</v>
      </c>
    </row>
    <row r="242">
      <c r="A242" s="16">
        <f>IFERROR(__xludf.DUMMYFUNCTION("""COMPUTED_VALUE"""),44781.51942474537)</f>
        <v>44781.51942</v>
      </c>
      <c r="B242" s="13" t="str">
        <f>IFERROR(__xludf.DUMMYFUNCTION("""COMPUTED_VALUE"""),"Add new entry")</f>
        <v>Add new entry</v>
      </c>
      <c r="C242" s="17" t="str">
        <f>IFERROR(__xludf.DUMMYFUNCTION("""COMPUTED_VALUE"""),"Land of the Beautiful Dead")</f>
        <v>Land of the Beautiful Dead</v>
      </c>
      <c r="D242" s="18" t="str">
        <f>IFERROR(__xludf.DUMMYFUNCTION("""COMPUTED_VALUE"""),"R. Lee Smith")</f>
        <v>R. Lee Smith</v>
      </c>
      <c r="E242" s="18" t="str">
        <f>IFERROR(__xludf.DUMMYFUNCTION("""COMPUTED_VALUE"""),"M/F")</f>
        <v>M/F</v>
      </c>
      <c r="F242" s="18"/>
      <c r="G242" s="18"/>
      <c r="H242" s="18"/>
      <c r="I242" s="18" t="str">
        <f>IFERROR(__xludf.DUMMYFUNCTION("""COMPUTED_VALUE"""),"Fantasy &amp; Gothic, Paranormal")</f>
        <v>Fantasy &amp; Gothic, Paranormal</v>
      </c>
      <c r="J242" s="18" t="str">
        <f>IFERROR(__xludf.DUMMYFUNCTION("""COMPUTED_VALUE"""),"Antihero/Villian/Stockholm Syndrome, Angel &amp; Demon etc, Angst, Creatures or Monsters- Dragon/Orc/Fae/etc, Dystopian, Enemies-to-lovers (or dislike-to-love), Retellings- Fairytale/Folklore/Mythology, Vampire, Undead etc")</f>
        <v>Antihero/Villian/Stockholm Syndrome, Angel &amp; Demon etc, Angst, Creatures or Monsters- Dragon/Orc/Fae/etc, Dystopian, Enemies-to-lovers (or dislike-to-love), Retellings- Fairytale/Folklore/Mythology, Vampire, Undead etc</v>
      </c>
      <c r="K242" s="18"/>
      <c r="L242" s="18" t="str">
        <f>IFERROR(__xludf.DUMMYFUNCTION("""COMPUTED_VALUE"""),"Level 3- Sexual content in a few chapters")</f>
        <v>Level 3- Sexual content in a few chapters</v>
      </c>
      <c r="M242" s="18"/>
      <c r="N242" s="18" t="str">
        <f>IFERROR(__xludf.DUMMYFUNCTION("""COMPUTED_VALUE"""),"Standalone (not part of a series)")</f>
        <v>Standalone (not part of a series)</v>
      </c>
      <c r="O242" s="18"/>
      <c r="P242" s="18"/>
      <c r="Q242" s="18" t="str">
        <f>IFERROR(__xludf.DUMMYFUNCTION("""COMPUTED_VALUE"""),"Suicide, Cancer, Violence")</f>
        <v>Suicide, Cancer, Violence</v>
      </c>
      <c r="R242" s="19" t="str">
        <f>IFERROR(__xludf.DUMMYFUNCTION("""COMPUTED_VALUE"""),"No")</f>
        <v>No</v>
      </c>
      <c r="S242" s="20" t="str">
        <f>IFERROR(__xludf.DUMMYFUNCTION("""COMPUTED_VALUE"""),"https://www.goodreads.com/book/show/27228341-land-of-the-beautiful-dead")</f>
        <v>https://www.goodreads.com/book/show/27228341-land-of-the-beautiful-dead</v>
      </c>
    </row>
    <row r="243">
      <c r="A243" s="16">
        <f>IFERROR(__xludf.DUMMYFUNCTION("""COMPUTED_VALUE"""),44781.52085829861)</f>
        <v>44781.52086</v>
      </c>
      <c r="B243" s="13" t="str">
        <f>IFERROR(__xludf.DUMMYFUNCTION("""COMPUTED_VALUE"""),"Add new entry")</f>
        <v>Add new entry</v>
      </c>
      <c r="C243" s="17" t="str">
        <f>IFERROR(__xludf.DUMMYFUNCTION("""COMPUTED_VALUE"""),"A Place in the Sun")</f>
        <v>A Place in the Sun</v>
      </c>
      <c r="D243" s="18" t="str">
        <f>IFERROR(__xludf.DUMMYFUNCTION("""COMPUTED_VALUE"""),"R.S. Grey")</f>
        <v>R.S. Grey</v>
      </c>
      <c r="E243" s="18" t="str">
        <f>IFERROR(__xludf.DUMMYFUNCTION("""COMPUTED_VALUE"""),"M/F")</f>
        <v>M/F</v>
      </c>
      <c r="F243" s="18"/>
      <c r="G243" s="18"/>
      <c r="H243" s="18" t="str">
        <f>IFERROR(__xludf.DUMMYFUNCTION("""COMPUTED_VALUE"""),"Dual POV, First person")</f>
        <v>Dual POV, First person</v>
      </c>
      <c r="I243" s="18" t="str">
        <f>IFERROR(__xludf.DUMMYFUNCTION("""COMPUTED_VALUE"""),"Contemporary")</f>
        <v>Contemporary</v>
      </c>
      <c r="J243" s="18" t="str">
        <f>IFERROR(__xludf.DUMMYFUNCTION("""COMPUTED_VALUE"""),"Forced Proximity, Road Trip/Travel, Small Town")</f>
        <v>Forced Proximity, Road Trip/Travel, Small Town</v>
      </c>
      <c r="K243" s="18"/>
      <c r="L243" s="18" t="str">
        <f>IFERROR(__xludf.DUMMYFUNCTION("""COMPUTED_VALUE"""),"Level 3- Sexual content in a few chapters")</f>
        <v>Level 3- Sexual content in a few chapters</v>
      </c>
      <c r="M243" s="18"/>
      <c r="N243" s="18" t="str">
        <f>IFERROR(__xludf.DUMMYFUNCTION("""COMPUTED_VALUE"""),"Standalone (not part of a series)")</f>
        <v>Standalone (not part of a series)</v>
      </c>
      <c r="O243" s="18"/>
      <c r="P243" s="18" t="str">
        <f>IFERROR(__xludf.DUMMYFUNCTION("""COMPUTED_VALUE"""),"Tingle, Feel feels")</f>
        <v>Tingle, Feel feels</v>
      </c>
      <c r="Q243" s="18"/>
      <c r="R243" s="19" t="str">
        <f>IFERROR(__xludf.DUMMYFUNCTION("""COMPUTED_VALUE"""),"No")</f>
        <v>No</v>
      </c>
      <c r="S243" s="20" t="str">
        <f>IFERROR(__xludf.DUMMYFUNCTION("""COMPUTED_VALUE"""),"https://www.goodreads.com/book/show/31823218-a-place-in-the-sun")</f>
        <v>https://www.goodreads.com/book/show/31823218-a-place-in-the-sun</v>
      </c>
    </row>
    <row r="244">
      <c r="A244" s="16">
        <f>IFERROR(__xludf.DUMMYFUNCTION("""COMPUTED_VALUE"""),44781.52185320602)</f>
        <v>44781.52185</v>
      </c>
      <c r="B244" s="13" t="str">
        <f>IFERROR(__xludf.DUMMYFUNCTION("""COMPUTED_VALUE"""),"Add new entry")</f>
        <v>Add new entry</v>
      </c>
      <c r="C244" s="17" t="str">
        <f>IFERROR(__xludf.DUMMYFUNCTION("""COMPUTED_VALUE"""),"Make Me Bad")</f>
        <v>Make Me Bad</v>
      </c>
      <c r="D244" s="18" t="str">
        <f>IFERROR(__xludf.DUMMYFUNCTION("""COMPUTED_VALUE"""),"R.S. Grey")</f>
        <v>R.S. Grey</v>
      </c>
      <c r="E244" s="18" t="str">
        <f>IFERROR(__xludf.DUMMYFUNCTION("""COMPUTED_VALUE"""),"M/F")</f>
        <v>M/F</v>
      </c>
      <c r="F244" s="18"/>
      <c r="G244" s="18"/>
      <c r="H244" s="18" t="str">
        <f>IFERROR(__xludf.DUMMYFUNCTION("""COMPUTED_VALUE"""),"Dual POV, First person")</f>
        <v>Dual POV, First person</v>
      </c>
      <c r="I244" s="18" t="str">
        <f>IFERROR(__xludf.DUMMYFUNCTION("""COMPUTED_VALUE"""),"Contemporary")</f>
        <v>Contemporary</v>
      </c>
      <c r="J244" s="18" t="str">
        <f>IFERROR(__xludf.DUMMYFUNCTION("""COMPUTED_VALUE"""),"Friends-to-lovers")</f>
        <v>Friends-to-lovers</v>
      </c>
      <c r="K244" s="18"/>
      <c r="L244" s="18" t="str">
        <f>IFERROR(__xludf.DUMMYFUNCTION("""COMPUTED_VALUE"""),"Level 3- Sexual content in a few chapters")</f>
        <v>Level 3- Sexual content in a few chapters</v>
      </c>
      <c r="M244" s="18"/>
      <c r="N244" s="18"/>
      <c r="O244" s="18"/>
      <c r="P244" s="18" t="str">
        <f>IFERROR(__xludf.DUMMYFUNCTION("""COMPUTED_VALUE"""),"Laugh")</f>
        <v>Laugh</v>
      </c>
      <c r="Q244" s="18"/>
      <c r="R244" s="19" t="str">
        <f>IFERROR(__xludf.DUMMYFUNCTION("""COMPUTED_VALUE"""),"No")</f>
        <v>No</v>
      </c>
      <c r="S244" s="20" t="str">
        <f>IFERROR(__xludf.DUMMYFUNCTION("""COMPUTED_VALUE"""),"https://www.goodreads.com/book/show/44182029-make-me-bad")</f>
        <v>https://www.goodreads.com/book/show/44182029-make-me-bad</v>
      </c>
    </row>
    <row r="245">
      <c r="A245" s="16">
        <f>IFERROR(__xludf.DUMMYFUNCTION("""COMPUTED_VALUE"""),44781.523218599534)</f>
        <v>44781.52322</v>
      </c>
      <c r="B245" s="13" t="str">
        <f>IFERROR(__xludf.DUMMYFUNCTION("""COMPUTED_VALUE"""),"Add new entry")</f>
        <v>Add new entry</v>
      </c>
      <c r="C245" s="17" t="str">
        <f>IFERROR(__xludf.DUMMYFUNCTION("""COMPUTED_VALUE"""),"Not So Nice Guy")</f>
        <v>Not So Nice Guy</v>
      </c>
      <c r="D245" s="18" t="str">
        <f>IFERROR(__xludf.DUMMYFUNCTION("""COMPUTED_VALUE"""),"R.S. Grey")</f>
        <v>R.S. Grey</v>
      </c>
      <c r="E245" s="18" t="str">
        <f>IFERROR(__xludf.DUMMYFUNCTION("""COMPUTED_VALUE"""),"M/F")</f>
        <v>M/F</v>
      </c>
      <c r="F245" s="18"/>
      <c r="G245" s="18"/>
      <c r="H245" s="18" t="str">
        <f>IFERROR(__xludf.DUMMYFUNCTION("""COMPUTED_VALUE"""),"Dual POV, First person")</f>
        <v>Dual POV, First person</v>
      </c>
      <c r="I245" s="18" t="str">
        <f>IFERROR(__xludf.DUMMYFUNCTION("""COMPUTED_VALUE"""),"Contemporary, Romantic Comedy")</f>
        <v>Contemporary, Romantic Comedy</v>
      </c>
      <c r="J245" s="18" t="str">
        <f>IFERROR(__xludf.DUMMYFUNCTION("""COMPUTED_VALUE"""),"Coworkers or Colleagues, Friends-to-lovers")</f>
        <v>Coworkers or Colleagues, Friends-to-lovers</v>
      </c>
      <c r="K245" s="18"/>
      <c r="L245" s="18" t="str">
        <f>IFERROR(__xludf.DUMMYFUNCTION("""COMPUTED_VALUE"""),"Level 3- Sexual content in a few chapters")</f>
        <v>Level 3- Sexual content in a few chapters</v>
      </c>
      <c r="M245" s="18"/>
      <c r="N245" s="18" t="str">
        <f>IFERROR(__xludf.DUMMYFUNCTION("""COMPUTED_VALUE"""),"Standalone (not part of a series)")</f>
        <v>Standalone (not part of a series)</v>
      </c>
      <c r="O245" s="18"/>
      <c r="P245" s="18" t="str">
        <f>IFERROR(__xludf.DUMMYFUNCTION("""COMPUTED_VALUE"""),"Tingle, Laugh")</f>
        <v>Tingle, Laugh</v>
      </c>
      <c r="Q245" s="18"/>
      <c r="R245" s="19" t="str">
        <f>IFERROR(__xludf.DUMMYFUNCTION("""COMPUTED_VALUE"""),"No")</f>
        <v>No</v>
      </c>
      <c r="S245" s="20" t="str">
        <f>IFERROR(__xludf.DUMMYFUNCTION("""COMPUTED_VALUE"""),"https://www.goodreads.com/book/show/41051411-not-so-nice-guy")</f>
        <v>https://www.goodreads.com/book/show/41051411-not-so-nice-guy</v>
      </c>
    </row>
    <row r="246">
      <c r="A246" s="16">
        <f>IFERROR(__xludf.DUMMYFUNCTION("""COMPUTED_VALUE"""),44977.325719583336)</f>
        <v>44977.32572</v>
      </c>
      <c r="B246" s="13" t="str">
        <f>IFERROR(__xludf.DUMMYFUNCTION("""COMPUTED_VALUE"""),"Add new entry")</f>
        <v>Add new entry</v>
      </c>
      <c r="C246" s="17" t="str">
        <f>IFERROR(__xludf.DUMMYFUNCTION("""COMPUTED_VALUE"""),"Her Band of Rakes")</f>
        <v>Her Band of Rakes</v>
      </c>
      <c r="D246" s="18" t="str">
        <f>IFERROR(__xludf.DUMMYFUNCTION("""COMPUTED_VALUE"""),"RA Steffan")</f>
        <v>RA Steffan</v>
      </c>
      <c r="E246" s="18" t="str">
        <f>IFERROR(__xludf.DUMMYFUNCTION("""COMPUTED_VALUE"""),"MMMF")</f>
        <v>MMMF</v>
      </c>
      <c r="F246" s="18" t="str">
        <f>IFERROR(__xludf.DUMMYFUNCTION("""COMPUTED_VALUE"""),"LGBTQIA+ &amp; GSM (Gender and Sexual Minorities), BIPoC (Black, Indigenous, People of Colour)")</f>
        <v>LGBTQIA+ &amp; GSM (Gender and Sexual Minorities), BIPoC (Black, Indigenous, People of Colour)</v>
      </c>
      <c r="G246" s="18"/>
      <c r="H246" s="18"/>
      <c r="I246" s="18" t="str">
        <f>IFERROR(__xludf.DUMMYFUNCTION("""COMPUTED_VALUE"""),"Historical Romance, Polyamorous")</f>
        <v>Historical Romance, Polyamorous</v>
      </c>
      <c r="J246" s="18" t="str">
        <f>IFERROR(__xludf.DUMMYFUNCTION("""COMPUTED_VALUE"""),"Class Differences, Forced Proximity, Hurt/Comfort")</f>
        <v>Class Differences, Forced Proximity, Hurt/Comfort</v>
      </c>
      <c r="K246" s="18" t="str">
        <f>IFERROR(__xludf.DUMMYFUNCTION("""COMPUTED_VALUE"""),"Europe")</f>
        <v>Europe</v>
      </c>
      <c r="L246" s="18"/>
      <c r="M246" s="18"/>
      <c r="N246" s="18" t="str">
        <f>IFERROR(__xludf.DUMMYFUNCTION("""COMPUTED_VALUE"""),"Standalone (not part of a series)")</f>
        <v>Standalone (not part of a series)</v>
      </c>
      <c r="O246" s="18"/>
      <c r="P246" s="18"/>
      <c r="Q246" s="18" t="str">
        <f>IFERROR(__xludf.DUMMYFUNCTION("""COMPUTED_VALUE"""),"sexual assault (in the past), abusive guardians, kidnapping")</f>
        <v>sexual assault (in the past), abusive guardians, kidnapping</v>
      </c>
      <c r="R246" s="19" t="str">
        <f>IFERROR(__xludf.DUMMYFUNCTION("""COMPUTED_VALUE"""),"No")</f>
        <v>No</v>
      </c>
      <c r="S246" s="20" t="str">
        <f>IFERROR(__xludf.DUMMYFUNCTION("""COMPUTED_VALUE"""),"https://www.goodreads.com/book/show/60686667-her-band-of-rakes")</f>
        <v>https://www.goodreads.com/book/show/60686667-her-band-of-rakes</v>
      </c>
    </row>
    <row r="247">
      <c r="A247" s="16">
        <f>IFERROR(__xludf.DUMMYFUNCTION("""COMPUTED_VALUE"""),44781.52529643518)</f>
        <v>44781.5253</v>
      </c>
      <c r="B247" s="13" t="str">
        <f>IFERROR(__xludf.DUMMYFUNCTION("""COMPUTED_VALUE"""),"Add new entry")</f>
        <v>Add new entry</v>
      </c>
      <c r="C247" s="17" t="str">
        <f>IFERROR(__xludf.DUMMYFUNCTION("""COMPUTED_VALUE"""),"The Experiment")</f>
        <v>The Experiment</v>
      </c>
      <c r="D247" s="18" t="str">
        <f>IFERROR(__xludf.DUMMYFUNCTION("""COMPUTED_VALUE"""),"Rebecca Raine")</f>
        <v>Rebecca Raine</v>
      </c>
      <c r="E247" s="18" t="str">
        <f>IFERROR(__xludf.DUMMYFUNCTION("""COMPUTED_VALUE"""),"M/M")</f>
        <v>M/M</v>
      </c>
      <c r="F247" s="18" t="str">
        <f>IFERROR(__xludf.DUMMYFUNCTION("""COMPUTED_VALUE"""),"LGBTQIA+ &amp; GSM (Gender and Sexual Minorities)")</f>
        <v>LGBTQIA+ &amp; GSM (Gender and Sexual Minorities)</v>
      </c>
      <c r="G247" s="18"/>
      <c r="H247" s="18" t="str">
        <f>IFERROR(__xludf.DUMMYFUNCTION("""COMPUTED_VALUE"""),"Dual POV")</f>
        <v>Dual POV</v>
      </c>
      <c r="I247" s="18" t="str">
        <f>IFERROR(__xludf.DUMMYFUNCTION("""COMPUTED_VALUE"""),"Contemporary")</f>
        <v>Contemporary</v>
      </c>
      <c r="J247" s="18" t="str">
        <f>IFERROR(__xludf.DUMMYFUNCTION("""COMPUTED_VALUE"""),"Friends-to-lovers, Ordinary MC- Average looks or career")</f>
        <v>Friends-to-lovers, Ordinary MC- Average looks or career</v>
      </c>
      <c r="K247" s="18"/>
      <c r="L247" s="18" t="str">
        <f>IFERROR(__xludf.DUMMYFUNCTION("""COMPUTED_VALUE"""),"Level 3- Sexual content in a few chapters")</f>
        <v>Level 3- Sexual content in a few chapters</v>
      </c>
      <c r="M247" s="18"/>
      <c r="N247" s="18"/>
      <c r="O247" s="18" t="str">
        <f>IFERROR(__xludf.DUMMYFUNCTION("""COMPUTED_VALUE"""),"Experimental Love #1")</f>
        <v>Experimental Love #1</v>
      </c>
      <c r="P247" s="18" t="str">
        <f>IFERROR(__xludf.DUMMYFUNCTION("""COMPUTED_VALUE"""),"Laugh, Feel feels, Learn")</f>
        <v>Laugh, Feel feels, Learn</v>
      </c>
      <c r="Q247" s="18"/>
      <c r="R247" s="19" t="str">
        <f>IFERROR(__xludf.DUMMYFUNCTION("""COMPUTED_VALUE"""),"No")</f>
        <v>No</v>
      </c>
      <c r="S247" s="20" t="str">
        <f>IFERROR(__xludf.DUMMYFUNCTION("""COMPUTED_VALUE"""),"https://www.goodreads.com/book/show/54950941-the-experiment")</f>
        <v>https://www.goodreads.com/book/show/54950941-the-experiment</v>
      </c>
    </row>
    <row r="248">
      <c r="A248" s="16">
        <f>IFERROR(__xludf.DUMMYFUNCTION("""COMPUTED_VALUE"""),44781.528074652786)</f>
        <v>44781.52807</v>
      </c>
      <c r="B248" s="13" t="str">
        <f>IFERROR(__xludf.DUMMYFUNCTION("""COMPUTED_VALUE"""),"Add new entry")</f>
        <v>Add new entry</v>
      </c>
      <c r="C248" s="17" t="str">
        <f>IFERROR(__xludf.DUMMYFUNCTION("""COMPUTED_VALUE"""),"Heart and Hand")</f>
        <v>Heart and Hand</v>
      </c>
      <c r="D248" s="18" t="str">
        <f>IFERROR(__xludf.DUMMYFUNCTION("""COMPUTED_VALUE"""),"Rebel Carter")</f>
        <v>Rebel Carter</v>
      </c>
      <c r="E248" s="18" t="str">
        <f>IFERROR(__xludf.DUMMYFUNCTION("""COMPUTED_VALUE"""),"MFM")</f>
        <v>MFM</v>
      </c>
      <c r="F248" s="18" t="str">
        <f>IFERROR(__xludf.DUMMYFUNCTION("""COMPUTED_VALUE"""),"BIPoC (Black, Indigenous, People of Colour)")</f>
        <v>BIPoC (Black, Indigenous, People of Colour)</v>
      </c>
      <c r="G248" s="18" t="str">
        <f>IFERROR(__xludf.DUMMYFUNCTION("""COMPUTED_VALUE"""),"FMC is biracial Black/Spanish, MMCs are white")</f>
        <v>FMC is biracial Black/Spanish, MMCs are white</v>
      </c>
      <c r="H248" s="18" t="str">
        <f>IFERROR(__xludf.DUMMYFUNCTION("""COMPUTED_VALUE"""),"Single POV, Third person")</f>
        <v>Single POV, Third person</v>
      </c>
      <c r="I248" s="18" t="str">
        <f>IFERROR(__xludf.DUMMYFUNCTION("""COMPUTED_VALUE"""),"Historical Romance, Multicultural/Interracial, Polyamorous, Western &amp; Frontier")</f>
        <v>Historical Romance, Multicultural/Interracial, Polyamorous, Western &amp; Frontier</v>
      </c>
      <c r="J248" s="18" t="str">
        <f>IFERROR(__xludf.DUMMYFUNCTION("""COMPUTED_VALUE"""),"Insta-lust/Insta-love/Insta-coffee, Loner/Isolated, Marriage of Convenience (or arranged marriage), Menage, Small Town, Sweet MC- beta hero/kindhearted heroine/etc")</f>
        <v>Insta-lust/Insta-love/Insta-coffee, Loner/Isolated, Marriage of Convenience (or arranged marriage), Menage, Small Town, Sweet MC- beta hero/kindhearted heroine/etc</v>
      </c>
      <c r="K248" s="18"/>
      <c r="L248" s="18" t="str">
        <f>IFERROR(__xludf.DUMMYFUNCTION("""COMPUTED_VALUE"""),"Level 3- Sexual content in a few chapters")</f>
        <v>Level 3- Sexual content in a few chapters</v>
      </c>
      <c r="M248" s="18"/>
      <c r="N248" s="18" t="str">
        <f>IFERROR(__xludf.DUMMYFUNCTION("""COMPUTED_VALUE"""),"Series- can be read as standalones")</f>
        <v>Series- can be read as standalones</v>
      </c>
      <c r="O248" s="18" t="str">
        <f>IFERROR(__xludf.DUMMYFUNCTION("""COMPUTED_VALUE"""),"Gold Sky #1")</f>
        <v>Gold Sky #1</v>
      </c>
      <c r="P248" s="18" t="str">
        <f>IFERROR(__xludf.DUMMYFUNCTION("""COMPUTED_VALUE"""),"Smolder, Inspired")</f>
        <v>Smolder, Inspired</v>
      </c>
      <c r="Q248" s="18"/>
      <c r="R248" s="19" t="str">
        <f>IFERROR(__xludf.DUMMYFUNCTION("""COMPUTED_VALUE"""),"No")</f>
        <v>No</v>
      </c>
      <c r="S248" s="20" t="str">
        <f>IFERROR(__xludf.DUMMYFUNCTION("""COMPUTED_VALUE"""),"https://www.goodreads.com/book/show/45484739-heart-and-hand")</f>
        <v>https://www.goodreads.com/book/show/45484739-heart-and-hand</v>
      </c>
    </row>
    <row r="249">
      <c r="A249" s="16">
        <f>IFERROR(__xludf.DUMMYFUNCTION("""COMPUTED_VALUE"""),45021.56673247686)</f>
        <v>45021.56673</v>
      </c>
      <c r="B249" s="13" t="str">
        <f>IFERROR(__xludf.DUMMYFUNCTION("""COMPUTED_VALUE"""),"Add new entry")</f>
        <v>Add new entry</v>
      </c>
      <c r="C249" s="17" t="str">
        <f>IFERROR(__xludf.DUMMYFUNCTION("""COMPUTED_VALUE"""),"Dead Wolf Walking: Bad Moon Academy")</f>
        <v>Dead Wolf Walking: Bad Moon Academy</v>
      </c>
      <c r="D249" s="18" t="str">
        <f>IFERROR(__xludf.DUMMYFUNCTION("""COMPUTED_VALUE"""),"Rory Miles")</f>
        <v>Rory Miles</v>
      </c>
      <c r="E249" s="18" t="str">
        <f>IFERROR(__xludf.DUMMYFUNCTION("""COMPUTED_VALUE"""),"RH")</f>
        <v>RH</v>
      </c>
      <c r="F249" s="18"/>
      <c r="G249" s="18" t="str">
        <f>IFERROR(__xludf.DUMMYFUNCTION("""COMPUTED_VALUE"""),"medium, werewolf shifters, fae, ghosts, chosen mates")</f>
        <v>medium, werewolf shifters, fae, ghosts, chosen mates</v>
      </c>
      <c r="H249" s="18" t="str">
        <f>IFERROR(__xludf.DUMMYFUNCTION("""COMPUTED_VALUE"""),"Dual POV")</f>
        <v>Dual POV</v>
      </c>
      <c r="I249" s="18" t="str">
        <f>IFERROR(__xludf.DUMMYFUNCTION("""COMPUTED_VALUE"""),"Fantasy, New Adult (NA), Paranormal, Polyamorous")</f>
        <v>Fantasy, New Adult (NA), Paranormal, Polyamorous</v>
      </c>
      <c r="J249" s="18" t="str">
        <f>IFERROR(__xludf.DUMMYFUNCTION("""COMPUTED_VALUE"""),"A/B/O (alpha/beta/omega), Creatures or Monsters- Dragon/Orc/Fae/etc, Insta-lust/Insta-love/Insta-coffee, Loner/Isolated, Outdoorsy- forest/hiking/camping etc, Pining/Yearning, Reverse Harem/Why Choose, Shifter/Wereperson, Spy/Intrigue/Mystery, Sweet MC- b"&amp;"eta hero/kindhearted heroine/etc, Teacher/Writer/Librarian")</f>
        <v>A/B/O (alpha/beta/omega), Creatures or Monsters- Dragon/Orc/Fae/etc, Insta-lust/Insta-love/Insta-coffee, Loner/Isolated, Outdoorsy- forest/hiking/camping etc, Pining/Yearning, Reverse Harem/Why Choose, Shifter/Wereperson, Spy/Intrigue/Mystery, Sweet MC- beta hero/kindhearted heroine/etc, Teacher/Writer/Librarian</v>
      </c>
      <c r="K249" s="18" t="str">
        <f>IFERROR(__xludf.DUMMYFUNCTION("""COMPUTED_VALUE"""),"North America")</f>
        <v>North America</v>
      </c>
      <c r="L249" s="18" t="str">
        <f>IFERROR(__xludf.DUMMYFUNCTION("""COMPUTED_VALUE"""),"Level 2- Kisses and foreplay, everything else closed door")</f>
        <v>Level 2- Kisses and foreplay, everything else closed door</v>
      </c>
      <c r="M249" s="18" t="str">
        <f>IFERROR(__xludf.DUMMYFUNCTION("""COMPUTED_VALUE"""),"Blood Play, Dirty Talk, Impact play (spanking etc)")</f>
        <v>Blood Play, Dirty Talk, Impact play (spanking etc)</v>
      </c>
      <c r="N249" s="18" t="str">
        <f>IFERROR(__xludf.DUMMYFUNCTION("""COMPUTED_VALUE"""),"Series- must be read in order")</f>
        <v>Series- must be read in order</v>
      </c>
      <c r="O249" s="18" t="str">
        <f>IFERROR(__xludf.DUMMYFUNCTION("""COMPUTED_VALUE"""),"Bad Moon Academy book #1")</f>
        <v>Bad Moon Academy book #1</v>
      </c>
      <c r="P249" s="18" t="str">
        <f>IFERROR(__xludf.DUMMYFUNCTION("""COMPUTED_VALUE"""),"Swoon, Tingle, Smolder")</f>
        <v>Swoon, Tingle, Smolder</v>
      </c>
      <c r="Q249" s="18" t="str">
        <f>IFERROR(__xludf.DUMMYFUNCTION("""COMPUTED_VALUE"""),"suicide (mentioned + imagery/visions), death of parents, alcohol abuse (MC in recovery)")</f>
        <v>suicide (mentioned + imagery/visions), death of parents, alcohol abuse (MC in recovery)</v>
      </c>
      <c r="R249" s="19" t="str">
        <f>IFERROR(__xludf.DUMMYFUNCTION("""COMPUTED_VALUE"""),"No")</f>
        <v>No</v>
      </c>
      <c r="S249" s="20" t="str">
        <f>IFERROR(__xludf.DUMMYFUNCTION("""COMPUTED_VALUE"""),"https://www.goodreads.com/book/show/57520528-dead-wolf-walking")</f>
        <v>https://www.goodreads.com/book/show/57520528-dead-wolf-walking</v>
      </c>
    </row>
    <row r="250">
      <c r="A250" s="16">
        <f>IFERROR(__xludf.DUMMYFUNCTION("""COMPUTED_VALUE"""),45047.03030921296)</f>
        <v>45047.03031</v>
      </c>
      <c r="B250" s="13" t="str">
        <f>IFERROR(__xludf.DUMMYFUNCTION("""COMPUTED_VALUE"""),"Add new entry")</f>
        <v>Add new entry</v>
      </c>
      <c r="C250" s="17" t="str">
        <f>IFERROR(__xludf.DUMMYFUNCTION("""COMPUTED_VALUE"""),"The Beneath (Behind the Wall, Book One)")</f>
        <v>The Beneath (Behind the Wall, Book One)</v>
      </c>
      <c r="D250" s="18" t="str">
        <f>IFERROR(__xludf.DUMMYFUNCTION("""COMPUTED_VALUE"""),"Roxanna C Revell ")</f>
        <v>Roxanna C Revell </v>
      </c>
      <c r="E250" s="18" t="str">
        <f>IFERROR(__xludf.DUMMYFUNCTION("""COMPUTED_VALUE"""),"M/F")</f>
        <v>M/F</v>
      </c>
      <c r="F250" s="18" t="str">
        <f>IFERROR(__xludf.DUMMYFUNCTION("""COMPUTED_VALUE"""),"Dark romance and Dystopian ")</f>
        <v>Dark romance and Dystopian </v>
      </c>
      <c r="G250" s="18" t="str">
        <f>IFERROR(__xludf.DUMMYFUNCTION("""COMPUTED_VALUE"""),"Hateful 🤣 some that you really hate plus those with all the shades of grey. Loved the MFC, Eve. The relationship with her brother and friends so many multi-layered characters. Bloody emotional rollercoaster! Bring the hankies and prepare to feel hot unde"&amp;"r the collar. So original and unique. That's my main takeaway from this. Series is available on KU - all three books.")</f>
        <v>Hateful 🤣 some that you really hate plus those with all the shades of grey. Loved the MFC, Eve. The relationship with her brother and friends so many multi-layered characters. Bloody emotional rollercoaster! Bring the hankies and prepare to feel hot under the collar. So original and unique. That's my main takeaway from this. Series is available on KU - all three books.</v>
      </c>
      <c r="H250" s="18" t="str">
        <f>IFERROR(__xludf.DUMMYFUNCTION("""COMPUTED_VALUE"""),"Dual POV, First person, There are milti-POVs")</f>
        <v>Dual POV, First person, There are milti-POVs</v>
      </c>
      <c r="I250" s="18" t="str">
        <f>IFERROR(__xludf.DUMMYFUNCTION("""COMPUTED_VALUE"""),"Contemporary, Dark, Erotic Romance, New Adult (NA), Romantic Suspense")</f>
        <v>Contemporary, Dark, Erotic Romance, New Adult (NA), Romantic Suspense</v>
      </c>
      <c r="J250" s="18" t="str">
        <f>IFERROR(__xludf.DUMMYFUNCTION("""COMPUTED_VALUE"""),"Antihero/Villian/Stockholm Syndrome, Angst, Class Differences, Dystopian, Forbidden or Taboo")</f>
        <v>Antihero/Villian/Stockholm Syndrome, Angst, Class Differences, Dystopian, Forbidden or Taboo</v>
      </c>
      <c r="K250" s="18" t="str">
        <f>IFERROR(__xludf.DUMMYFUNCTION("""COMPUTED_VALUE"""),"It's Dystopian ")</f>
        <v>It's Dystopian </v>
      </c>
      <c r="L250" s="18" t="str">
        <f>IFERROR(__xludf.DUMMYFUNCTION("""COMPUTED_VALUE"""),"Level 5- My Kindle melted, primarily erotica")</f>
        <v>Level 5- My Kindle melted, primarily erotica</v>
      </c>
      <c r="M250" s="18" t="str">
        <f>IFERROR(__xludf.DUMMYFUNCTION("""COMPUTED_VALUE"""),"Anal sex, Dirty Talk, Oral sex - cunnilingus, Oral sex - fellatio, MC is troubled and at times uses FMC to calm down ")</f>
        <v>Anal sex, Dirty Talk, Oral sex - cunnilingus, Oral sex - fellatio, MC is troubled and at times uses FMC to calm down </v>
      </c>
      <c r="N250" s="18" t="str">
        <f>IFERROR(__xludf.DUMMYFUNCTION("""COMPUTED_VALUE"""),"Series- must be read in order")</f>
        <v>Series- must be read in order</v>
      </c>
      <c r="O250" s="18" t="str">
        <f>IFERROR(__xludf.DUMMYFUNCTION("""COMPUTED_VALUE"""),"Behind the Wall")</f>
        <v>Behind the Wall</v>
      </c>
      <c r="P250" s="18" t="str">
        <f>IFERROR(__xludf.DUMMYFUNCTION("""COMPUTED_VALUE"""),"Swoon, Tingle, Laugh, Cry, Rage, Feel feels, Smolder, Scared, Inspired, Transported")</f>
        <v>Swoon, Tingle, Laugh, Cry, Rage, Feel feels, Smolder, Scared, Inspired, Transported</v>
      </c>
      <c r="Q250" s="18" t="str">
        <f>IFERROR(__xludf.DUMMYFUNCTION("""COMPUTED_VALUE"""),"Dubious consent, violence, murder,  death of a loved one ")</f>
        <v>Dubious consent, violence, murder,  death of a loved one </v>
      </c>
      <c r="R250" s="19" t="str">
        <f>IFERROR(__xludf.DUMMYFUNCTION("""COMPUTED_VALUE"""),"No")</f>
        <v>No</v>
      </c>
      <c r="S250" s="20" t="str">
        <f>IFERROR(__xludf.DUMMYFUNCTION("""COMPUTED_VALUE"""),"https://www.goodreads.com/book/show/57896916-the-beneath-behind-the-wall-1")</f>
        <v>https://www.goodreads.com/book/show/57896916-the-beneath-behind-the-wall-1</v>
      </c>
    </row>
    <row r="251">
      <c r="A251" s="16">
        <f>IFERROR(__xludf.DUMMYFUNCTION("""COMPUTED_VALUE"""),44781.532300879626)</f>
        <v>44781.5323</v>
      </c>
      <c r="B251" s="13" t="str">
        <f>IFERROR(__xludf.DUMMYFUNCTION("""COMPUTED_VALUE"""),"Add new entry")</f>
        <v>Add new entry</v>
      </c>
      <c r="C251" s="17" t="str">
        <f>IFERROR(__xludf.DUMMYFUNCTION("""COMPUTED_VALUE"""),"Bound to the Battle God")</f>
        <v>Bound to the Battle God</v>
      </c>
      <c r="D251" s="18" t="str">
        <f>IFERROR(__xludf.DUMMYFUNCTION("""COMPUTED_VALUE"""),"Ruby Dixon")</f>
        <v>Ruby Dixon</v>
      </c>
      <c r="E251" s="18" t="str">
        <f>IFERROR(__xludf.DUMMYFUNCTION("""COMPUTED_VALUE"""),"M/F")</f>
        <v>M/F</v>
      </c>
      <c r="F251" s="18"/>
      <c r="G251" s="18"/>
      <c r="H251" s="18"/>
      <c r="I251" s="18" t="str">
        <f>IFERROR(__xludf.DUMMYFUNCTION("""COMPUTED_VALUE"""),"Adventure, Fantasy &amp; Gothic")</f>
        <v>Adventure, Fantasy &amp; Gothic</v>
      </c>
      <c r="J251" s="18" t="str">
        <f>IFERROR(__xludf.DUMMYFUNCTION("""COMPUTED_VALUE"""),"Enemies-to-lovers (or dislike-to-love), Forced Proximity")</f>
        <v>Enemies-to-lovers (or dislike-to-love), Forced Proximity</v>
      </c>
      <c r="K251" s="18"/>
      <c r="L251" s="18" t="str">
        <f>IFERROR(__xludf.DUMMYFUNCTION("""COMPUTED_VALUE"""),"Level 3- Sexual content in a few chapters")</f>
        <v>Level 3- Sexual content in a few chapters</v>
      </c>
      <c r="M251" s="18"/>
      <c r="N251" s="18"/>
      <c r="O251" s="18" t="str">
        <f>IFERROR(__xludf.DUMMYFUNCTION("""COMPUTED_VALUE"""),"Aspect and Anchor #1")</f>
        <v>Aspect and Anchor #1</v>
      </c>
      <c r="P251" s="18"/>
      <c r="Q251" s="18"/>
      <c r="R251" s="19" t="str">
        <f>IFERROR(__xludf.DUMMYFUNCTION("""COMPUTED_VALUE"""),"No")</f>
        <v>No</v>
      </c>
      <c r="S251" s="20" t="str">
        <f>IFERROR(__xludf.DUMMYFUNCTION("""COMPUTED_VALUE"""),"https://www.goodreads.com/book/show/50841330-bound-to-the-battle-god")</f>
        <v>https://www.goodreads.com/book/show/50841330-bound-to-the-battle-god</v>
      </c>
    </row>
    <row r="252">
      <c r="A252" s="16">
        <f>IFERROR(__xludf.DUMMYFUNCTION("""COMPUTED_VALUE"""),44781.53398962963)</f>
        <v>44781.53399</v>
      </c>
      <c r="B252" s="13" t="str">
        <f>IFERROR(__xludf.DUMMYFUNCTION("""COMPUTED_VALUE"""),"Add new entry")</f>
        <v>Add new entry</v>
      </c>
      <c r="C252" s="17" t="str">
        <f>IFERROR(__xludf.DUMMYFUNCTION("""COMPUTED_VALUE"""),"Ice Planet Barbarians")</f>
        <v>Ice Planet Barbarians</v>
      </c>
      <c r="D252" s="18" t="str">
        <f>IFERROR(__xludf.DUMMYFUNCTION("""COMPUTED_VALUE"""),"Ruby Dixon")</f>
        <v>Ruby Dixon</v>
      </c>
      <c r="E252" s="18" t="str">
        <f>IFERROR(__xludf.DUMMYFUNCTION("""COMPUTED_VALUE"""),"M/F")</f>
        <v>M/F</v>
      </c>
      <c r="F252" s="18"/>
      <c r="G252" s="18"/>
      <c r="H252" s="18" t="str">
        <f>IFERROR(__xludf.DUMMYFUNCTION("""COMPUTED_VALUE"""),"Dual POV, First person")</f>
        <v>Dual POV, First person</v>
      </c>
      <c r="I252" s="18" t="str">
        <f>IFERROR(__xludf.DUMMYFUNCTION("""COMPUTED_VALUE"""),"Erotic Romance, Science Fiction &amp; Alien")</f>
        <v>Erotic Romance, Science Fiction &amp; Alien</v>
      </c>
      <c r="J252" s="18" t="str">
        <f>IFERROR(__xludf.DUMMYFUNCTION("""COMPUTED_VALUE"""),"Fated Mates, Insta-lust/Insta-love/Insta-coffee, Relationship Coach-  (ie; Teach me how to kiss)")</f>
        <v>Fated Mates, Insta-lust/Insta-love/Insta-coffee, Relationship Coach-  (ie; Teach me how to kiss)</v>
      </c>
      <c r="K252" s="18"/>
      <c r="L252" s="18" t="str">
        <f>IFERROR(__xludf.DUMMYFUNCTION("""COMPUTED_VALUE"""),"Level 4- Heavy sexual content, mature audiences only")</f>
        <v>Level 4- Heavy sexual content, mature audiences only</v>
      </c>
      <c r="M252" s="18"/>
      <c r="N252" s="18" t="str">
        <f>IFERROR(__xludf.DUMMYFUNCTION("""COMPUTED_VALUE"""),"Series- can be read as standalones")</f>
        <v>Series- can be read as standalones</v>
      </c>
      <c r="O252" s="18" t="str">
        <f>IFERROR(__xludf.DUMMYFUNCTION("""COMPUTED_VALUE"""),"Ice Planet Barbarians #1")</f>
        <v>Ice Planet Barbarians #1</v>
      </c>
      <c r="P252" s="18" t="str">
        <f>IFERROR(__xludf.DUMMYFUNCTION("""COMPUTED_VALUE"""),"Laugh, Smolder")</f>
        <v>Laugh, Smolder</v>
      </c>
      <c r="Q252" s="18" t="str">
        <f>IFERROR(__xludf.DUMMYFUNCTION("""COMPUTED_VALUE"""),"Sexual assault, alien rape, dubious consent, forced abortion")</f>
        <v>Sexual assault, alien rape, dubious consent, forced abortion</v>
      </c>
      <c r="R252" s="19" t="str">
        <f>IFERROR(__xludf.DUMMYFUNCTION("""COMPUTED_VALUE"""),"No")</f>
        <v>No</v>
      </c>
      <c r="S252" s="20" t="str">
        <f>IFERROR(__xludf.DUMMYFUNCTION("""COMPUTED_VALUE"""),"https://www.goodreads.com/book/show/25128811-ice-planet-barbarians")</f>
        <v>https://www.goodreads.com/book/show/25128811-ice-planet-barbarians</v>
      </c>
    </row>
    <row r="253">
      <c r="A253" s="16">
        <f>IFERROR(__xludf.DUMMYFUNCTION("""COMPUTED_VALUE"""),44781.53568355324)</f>
        <v>44781.53568</v>
      </c>
      <c r="B253" s="13" t="str">
        <f>IFERROR(__xludf.DUMMYFUNCTION("""COMPUTED_VALUE"""),"Add new entry")</f>
        <v>Add new entry</v>
      </c>
      <c r="C253" s="17" t="str">
        <f>IFERROR(__xludf.DUMMYFUNCTION("""COMPUTED_VALUE"""),"Worse Guy")</f>
        <v>Worse Guy</v>
      </c>
      <c r="D253" s="18" t="str">
        <f>IFERROR(__xludf.DUMMYFUNCTION("""COMPUTED_VALUE"""),"Ruby Dixon")</f>
        <v>Ruby Dixon</v>
      </c>
      <c r="E253" s="18" t="str">
        <f>IFERROR(__xludf.DUMMYFUNCTION("""COMPUTED_VALUE"""),"M/F")</f>
        <v>M/F</v>
      </c>
      <c r="F253" s="18"/>
      <c r="G253" s="18"/>
      <c r="H253" s="18" t="str">
        <f>IFERROR(__xludf.DUMMYFUNCTION("""COMPUTED_VALUE"""),"Dual POV")</f>
        <v>Dual POV</v>
      </c>
      <c r="I253" s="18" t="str">
        <f>IFERROR(__xludf.DUMMYFUNCTION("""COMPUTED_VALUE"""),"Science Fiction &amp; Alien")</f>
        <v>Science Fiction &amp; Alien</v>
      </c>
      <c r="J253" s="18" t="str">
        <f>IFERROR(__xludf.DUMMYFUNCTION("""COMPUTED_VALUE"""),"Antihero/Villian/Stockholm Syndrome, Friends-to-lovers, Loner/Isolated")</f>
        <v>Antihero/Villian/Stockholm Syndrome, Friends-to-lovers, Loner/Isolated</v>
      </c>
      <c r="K253" s="18"/>
      <c r="L253" s="18" t="str">
        <f>IFERROR(__xludf.DUMMYFUNCTION("""COMPUTED_VALUE"""),"Level 4- Heavy sexual content, mature audiences only")</f>
        <v>Level 4- Heavy sexual content, mature audiences only</v>
      </c>
      <c r="M253" s="18"/>
      <c r="N253" s="18"/>
      <c r="O253" s="18" t="str">
        <f>IFERROR(__xludf.DUMMYFUNCTION("""COMPUTED_VALUE"""),"Villains in Love")</f>
        <v>Villains in Love</v>
      </c>
      <c r="P253" s="18"/>
      <c r="Q253" s="18"/>
      <c r="R253" s="19" t="str">
        <f>IFERROR(__xludf.DUMMYFUNCTION("""COMPUTED_VALUE"""),"No")</f>
        <v>No</v>
      </c>
      <c r="S253" s="20" t="str">
        <f>IFERROR(__xludf.DUMMYFUNCTION("""COMPUTED_VALUE"""),"https://www.goodreads.com/book/show/58189829-worse-guy")</f>
        <v>https://www.goodreads.com/book/show/58189829-worse-guy</v>
      </c>
    </row>
    <row r="254">
      <c r="A254" s="16">
        <f>IFERROR(__xludf.DUMMYFUNCTION("""COMPUTED_VALUE"""),44781.53839712963)</f>
        <v>44781.5384</v>
      </c>
      <c r="B254" s="13" t="str">
        <f>IFERROR(__xludf.DUMMYFUNCTION("""COMPUTED_VALUE"""),"Add new entry")</f>
        <v>Add new entry</v>
      </c>
      <c r="C254" s="17" t="str">
        <f>IFERROR(__xludf.DUMMYFUNCTION("""COMPUTED_VALUE"""),"Animate Me")</f>
        <v>Animate Me</v>
      </c>
      <c r="D254" s="18" t="str">
        <f>IFERROR(__xludf.DUMMYFUNCTION("""COMPUTED_VALUE"""),"Ruth Clampett")</f>
        <v>Ruth Clampett</v>
      </c>
      <c r="E254" s="18" t="str">
        <f>IFERROR(__xludf.DUMMYFUNCTION("""COMPUTED_VALUE"""),"M/F")</f>
        <v>M/F</v>
      </c>
      <c r="F254" s="18"/>
      <c r="G254" s="18"/>
      <c r="H254" s="18" t="str">
        <f>IFERROR(__xludf.DUMMYFUNCTION("""COMPUTED_VALUE"""),"Single POV, First person")</f>
        <v>Single POV, First person</v>
      </c>
      <c r="I254" s="18" t="str">
        <f>IFERROR(__xludf.DUMMYFUNCTION("""COMPUTED_VALUE"""),"Contemporary, Romantic Comedy")</f>
        <v>Contemporary, Romantic Comedy</v>
      </c>
      <c r="J254" s="18" t="str">
        <f>IFERROR(__xludf.DUMMYFUNCTION("""COMPUTED_VALUE"""),"Coworkers or Colleagues, Friends-to-lovers, Geek/Nerd/Misfit/Genius, Love Triangle, Slow Burn, Sweet MC- beta hero/kindhearted heroine/etc")</f>
        <v>Coworkers or Colleagues, Friends-to-lovers, Geek/Nerd/Misfit/Genius, Love Triangle, Slow Burn, Sweet MC- beta hero/kindhearted heroine/etc</v>
      </c>
      <c r="K254" s="18"/>
      <c r="L254" s="18" t="str">
        <f>IFERROR(__xludf.DUMMYFUNCTION("""COMPUTED_VALUE"""),"Level 3- Sexual content in a few chapters")</f>
        <v>Level 3- Sexual content in a few chapters</v>
      </c>
      <c r="M254" s="18"/>
      <c r="N254" s="18" t="str">
        <f>IFERROR(__xludf.DUMMYFUNCTION("""COMPUTED_VALUE"""),"Standalone (not part of a series)")</f>
        <v>Standalone (not part of a series)</v>
      </c>
      <c r="O254" s="18"/>
      <c r="P254" s="18"/>
      <c r="Q254" s="18"/>
      <c r="R254" s="19" t="str">
        <f>IFERROR(__xludf.DUMMYFUNCTION("""COMPUTED_VALUE"""),"No")</f>
        <v>No</v>
      </c>
      <c r="S254" s="20" t="str">
        <f>IFERROR(__xludf.DUMMYFUNCTION("""COMPUTED_VALUE"""),"https://www.goodreads.com/book/show/17750250-animate-me")</f>
        <v>https://www.goodreads.com/book/show/17750250-animate-me</v>
      </c>
    </row>
    <row r="255">
      <c r="A255" s="16">
        <f>IFERROR(__xludf.DUMMYFUNCTION("""COMPUTED_VALUE"""),44781.54254017361)</f>
        <v>44781.54254</v>
      </c>
      <c r="B255" s="13" t="str">
        <f>IFERROR(__xludf.DUMMYFUNCTION("""COMPUTED_VALUE"""),"Add new entry")</f>
        <v>Add new entry</v>
      </c>
      <c r="C255" s="17" t="str">
        <f>IFERROR(__xludf.DUMMYFUNCTION("""COMPUTED_VALUE"""),"Broken Earth")</f>
        <v>Broken Earth</v>
      </c>
      <c r="D255" s="18" t="str">
        <f>IFERROR(__xludf.DUMMYFUNCTION("""COMPUTED_VALUE"""),"S. J. Sanders")</f>
        <v>S. J. Sanders</v>
      </c>
      <c r="E255" s="18" t="str">
        <f>IFERROR(__xludf.DUMMYFUNCTION("""COMPUTED_VALUE"""),"M/F")</f>
        <v>M/F</v>
      </c>
      <c r="F255" s="18"/>
      <c r="G255" s="18"/>
      <c r="H255" s="18" t="str">
        <f>IFERROR(__xludf.DUMMYFUNCTION("""COMPUTED_VALUE"""),"Third person")</f>
        <v>Third person</v>
      </c>
      <c r="I255" s="18" t="str">
        <f>IFERROR(__xludf.DUMMYFUNCTION("""COMPUTED_VALUE"""),"Science Fiction &amp; Alien")</f>
        <v>Science Fiction &amp; Alien</v>
      </c>
      <c r="J255" s="18" t="str">
        <f>IFERROR(__xludf.DUMMYFUNCTION("""COMPUTED_VALUE"""),"Creatures or Monsters- Dragon/Orc/Fae/etc, Sweet MC- beta hero/kindhearted heroine/etc")</f>
        <v>Creatures or Monsters- Dragon/Orc/Fae/etc, Sweet MC- beta hero/kindhearted heroine/etc</v>
      </c>
      <c r="K255" s="18"/>
      <c r="L255" s="18" t="str">
        <f>IFERROR(__xludf.DUMMYFUNCTION("""COMPUTED_VALUE"""),"Level 3- Sexual content in a few chapters")</f>
        <v>Level 3- Sexual content in a few chapters</v>
      </c>
      <c r="M255" s="18"/>
      <c r="N255" s="18"/>
      <c r="O255" s="18" t="str">
        <f>IFERROR(__xludf.DUMMYFUNCTION("""COMPUTED_VALUE"""),"Argurma Salvager #1")</f>
        <v>Argurma Salvager #1</v>
      </c>
      <c r="P255" s="18"/>
      <c r="Q255" s="18" t="str">
        <f>IFERROR(__xludf.DUMMYFUNCTION("""COMPUTED_VALUE"""),"Rape of secondary characters, death of child, cannibalism")</f>
        <v>Rape of secondary characters, death of child, cannibalism</v>
      </c>
      <c r="R255" s="19" t="str">
        <f>IFERROR(__xludf.DUMMYFUNCTION("""COMPUTED_VALUE"""),"No")</f>
        <v>No</v>
      </c>
      <c r="S255" s="20" t="str">
        <f>IFERROR(__xludf.DUMMYFUNCTION("""COMPUTED_VALUE"""),"https://www.goodreads.com/book/show/52231217-broken-earth")</f>
        <v>https://www.goodreads.com/book/show/52231217-broken-earth</v>
      </c>
    </row>
    <row r="256">
      <c r="A256" s="16">
        <f>IFERROR(__xludf.DUMMYFUNCTION("""COMPUTED_VALUE"""),44929.67824313658)</f>
        <v>44929.67824</v>
      </c>
      <c r="B256" s="13" t="str">
        <f>IFERROR(__xludf.DUMMYFUNCTION("""COMPUTED_VALUE"""),"Add new entry")</f>
        <v>Add new entry</v>
      </c>
      <c r="C256" s="17" t="str">
        <f>IFERROR(__xludf.DUMMYFUNCTION("""COMPUTED_VALUE"""),"The Sleet Series")</f>
        <v>The Sleet Series</v>
      </c>
      <c r="D256" s="18" t="str">
        <f>IFERROR(__xludf.DUMMYFUNCTION("""COMPUTED_VALUE"""),"S.J. Tilly")</f>
        <v>S.J. Tilly</v>
      </c>
      <c r="E256" s="18" t="str">
        <f>IFERROR(__xludf.DUMMYFUNCTION("""COMPUTED_VALUE"""),"M/F")</f>
        <v>M/F</v>
      </c>
      <c r="F256" s="18" t="str">
        <f>IFERROR(__xludf.DUMMYFUNCTION("""COMPUTED_VALUE"""),"Fat/Plus Size/Body Positive")</f>
        <v>Fat/Plus Size/Body Positive</v>
      </c>
      <c r="G256" s="18"/>
      <c r="H256" s="18" t="str">
        <f>IFERROR(__xludf.DUMMYFUNCTION("""COMPUTED_VALUE"""),"Dual POV")</f>
        <v>Dual POV</v>
      </c>
      <c r="I256" s="18" t="str">
        <f>IFERROR(__xludf.DUMMYFUNCTION("""COMPUTED_VALUE"""),"Erotic Romance, Sports Romance")</f>
        <v>Erotic Romance, Sports Romance</v>
      </c>
      <c r="J256" s="18" t="str">
        <f>IFERROR(__xludf.DUMMYFUNCTION("""COMPUTED_VALUE"""),"Athlete, Billionaires/Millionaires/Gazillionaires etc, Celebrities- Rock star/Actor/Model, Rake/Player")</f>
        <v>Athlete, Billionaires/Millionaires/Gazillionaires etc, Celebrities- Rock star/Actor/Model, Rake/Player</v>
      </c>
      <c r="K256" s="18" t="str">
        <f>IFERROR(__xludf.DUMMYFUNCTION("""COMPUTED_VALUE"""),"North America")</f>
        <v>North America</v>
      </c>
      <c r="L256" s="18" t="str">
        <f>IFERROR(__xludf.DUMMYFUNCTION("""COMPUTED_VALUE"""),"Level 4- Heavy sexual content, mature audiences only")</f>
        <v>Level 4- Heavy sexual content, mature audiences only</v>
      </c>
      <c r="M256" s="18"/>
      <c r="N256" s="18" t="str">
        <f>IFERROR(__xludf.DUMMYFUNCTION("""COMPUTED_VALUE"""),"Series- must be read in order")</f>
        <v>Series- must be read in order</v>
      </c>
      <c r="O256" s="18" t="str">
        <f>IFERROR(__xludf.DUMMYFUNCTION("""COMPUTED_VALUE"""),"Sleet Kitten #1 Sleet Sugar #2 Sleet Banshee #3")</f>
        <v>Sleet Kitten #1 Sleet Sugar #2 Sleet Banshee #3</v>
      </c>
      <c r="P256" s="18" t="str">
        <f>IFERROR(__xludf.DUMMYFUNCTION("""COMPUTED_VALUE"""),"Tingle")</f>
        <v>Tingle</v>
      </c>
      <c r="Q256" s="18"/>
      <c r="R256" s="19" t="str">
        <f>IFERROR(__xludf.DUMMYFUNCTION("""COMPUTED_VALUE"""),"No")</f>
        <v>No</v>
      </c>
      <c r="S256" s="20" t="str">
        <f>IFERROR(__xludf.DUMMYFUNCTION("""COMPUTED_VALUE"""),"https://www.goodreads.com/series/312397-sleet")</f>
        <v>https://www.goodreads.com/series/312397-sleet</v>
      </c>
    </row>
    <row r="257">
      <c r="A257" s="16">
        <f>IFERROR(__xludf.DUMMYFUNCTION("""COMPUTED_VALUE"""),44781.54396657408)</f>
        <v>44781.54397</v>
      </c>
      <c r="B257" s="13" t="str">
        <f>IFERROR(__xludf.DUMMYFUNCTION("""COMPUTED_VALUE"""),"Add new entry")</f>
        <v>Add new entry</v>
      </c>
      <c r="C257" s="17" t="str">
        <f>IFERROR(__xludf.DUMMYFUNCTION("""COMPUTED_VALUE"""),"Queen of Klutz")</f>
        <v>Queen of Klutz</v>
      </c>
      <c r="D257" s="18" t="str">
        <f>IFERROR(__xludf.DUMMYFUNCTION("""COMPUTED_VALUE"""),"Samantha Garman")</f>
        <v>Samantha Garman</v>
      </c>
      <c r="E257" s="18" t="str">
        <f>IFERROR(__xludf.DUMMYFUNCTION("""COMPUTED_VALUE"""),"M/F")</f>
        <v>M/F</v>
      </c>
      <c r="F257" s="18"/>
      <c r="G257" s="18"/>
      <c r="H257" s="18" t="str">
        <f>IFERROR(__xludf.DUMMYFUNCTION("""COMPUTED_VALUE"""),"Single POV, First person")</f>
        <v>Single POV, First person</v>
      </c>
      <c r="I257" s="18" t="str">
        <f>IFERROR(__xludf.DUMMYFUNCTION("""COMPUTED_VALUE"""),"Contemporary, Romantic Comedy")</f>
        <v>Contemporary, Romantic Comedy</v>
      </c>
      <c r="J257" s="18" t="str">
        <f>IFERROR(__xludf.DUMMYFUNCTION("""COMPUTED_VALUE"""),"Coworkers or Colleagues, Foodies- Chef/Baker/Bartender etc, Romance Adjacent, Slow Burn, Sweet MC- beta hero/kindhearted heroine/etc")</f>
        <v>Coworkers or Colleagues, Foodies- Chef/Baker/Bartender etc, Romance Adjacent, Slow Burn, Sweet MC- beta hero/kindhearted heroine/etc</v>
      </c>
      <c r="K257" s="18"/>
      <c r="L257" s="18" t="str">
        <f>IFERROR(__xludf.DUMMYFUNCTION("""COMPUTED_VALUE"""),"Level 1- Kisses only, no mention of sex")</f>
        <v>Level 1- Kisses only, no mention of sex</v>
      </c>
      <c r="M257" s="18"/>
      <c r="N257" s="18"/>
      <c r="O257" s="18" t="str">
        <f>IFERROR(__xludf.DUMMYFUNCTION("""COMPUTED_VALUE"""),"Sibby #1")</f>
        <v>Sibby #1</v>
      </c>
      <c r="P257" s="18"/>
      <c r="Q257" s="18"/>
      <c r="R257" s="19" t="str">
        <f>IFERROR(__xludf.DUMMYFUNCTION("""COMPUTED_VALUE"""),"No")</f>
        <v>No</v>
      </c>
      <c r="S257" s="20" t="str">
        <f>IFERROR(__xludf.DUMMYFUNCTION("""COMPUTED_VALUE"""),"https://www.goodreads.com/book/show/42403496-queen-of-klutz")</f>
        <v>https://www.goodreads.com/book/show/42403496-queen-of-klutz</v>
      </c>
    </row>
    <row r="258">
      <c r="A258" s="16">
        <f>IFERROR(__xludf.DUMMYFUNCTION("""COMPUTED_VALUE"""),45046.30258920139)</f>
        <v>45046.30259</v>
      </c>
      <c r="B258" s="13" t="str">
        <f>IFERROR(__xludf.DUMMYFUNCTION("""COMPUTED_VALUE"""),"Add new entry")</f>
        <v>Add new entry</v>
      </c>
      <c r="C258" s="17" t="str">
        <f>IFERROR(__xludf.DUMMYFUNCTION("""COMPUTED_VALUE"""),"Gravity")</f>
        <v>Gravity</v>
      </c>
      <c r="D258" s="18" t="str">
        <f>IFERROR(__xludf.DUMMYFUNCTION("""COMPUTED_VALUE"""),"Sara Cate")</f>
        <v>Sara Cate</v>
      </c>
      <c r="E258" s="18" t="str">
        <f>IFERROR(__xludf.DUMMYFUNCTION("""COMPUTED_VALUE"""),"MFM")</f>
        <v>MFM</v>
      </c>
      <c r="F258" s="18"/>
      <c r="G258" s="18"/>
      <c r="H258" s="18" t="str">
        <f>IFERROR(__xludf.DUMMYFUNCTION("""COMPUTED_VALUE"""),"Dual POV")</f>
        <v>Dual POV</v>
      </c>
      <c r="I258" s="18" t="str">
        <f>IFERROR(__xludf.DUMMYFUNCTION("""COMPUTED_VALUE"""),"Contemporary, Erotic Romance")</f>
        <v>Contemporary, Erotic Romance</v>
      </c>
      <c r="J258" s="18" t="str">
        <f>IFERROR(__xludf.DUMMYFUNCTION("""COMPUTED_VALUE"""),"Age Difference, Billionaires/Millionaires/Gazillionaires etc, Forbidden or Taboo")</f>
        <v>Age Difference, Billionaires/Millionaires/Gazillionaires etc, Forbidden or Taboo</v>
      </c>
      <c r="K258" s="18" t="str">
        <f>IFERROR(__xludf.DUMMYFUNCTION("""COMPUTED_VALUE"""),"North America")</f>
        <v>North America</v>
      </c>
      <c r="L258" s="18" t="str">
        <f>IFERROR(__xludf.DUMMYFUNCTION("""COMPUTED_VALUE"""),"Level 4- Heavy sexual content, mature audiences only")</f>
        <v>Level 4- Heavy sexual content, mature audiences only</v>
      </c>
      <c r="M258" s="18" t="str">
        <f>IFERROR(__xludf.DUMMYFUNCTION("""COMPUTED_VALUE"""),"Age Play, Dirty Talk, Dom/Sub, Oral sex - cunnilingus, Voyeurism")</f>
        <v>Age Play, Dirty Talk, Dom/Sub, Oral sex - cunnilingus, Voyeurism</v>
      </c>
      <c r="N258" s="18" t="str">
        <f>IFERROR(__xludf.DUMMYFUNCTION("""COMPUTED_VALUE"""),"Series- can be read as standalones")</f>
        <v>Series- can be read as standalones</v>
      </c>
      <c r="O258" s="18" t="str">
        <f>IFERROR(__xludf.DUMMYFUNCTION("""COMPUTED_VALUE"""),"1")</f>
        <v>1</v>
      </c>
      <c r="P258" s="18" t="str">
        <f>IFERROR(__xludf.DUMMYFUNCTION("""COMPUTED_VALUE"""),"Laugh, Dream")</f>
        <v>Laugh, Dream</v>
      </c>
      <c r="Q258" s="18" t="str">
        <f>IFERROR(__xludf.DUMMYFUNCTION("""COMPUTED_VALUE"""),"Characters are all getting over the same trauma- death of a loved one in a helicopter crash ")</f>
        <v>Characters are all getting over the same trauma- death of a loved one in a helicopter crash </v>
      </c>
      <c r="R258" s="19" t="str">
        <f>IFERROR(__xludf.DUMMYFUNCTION("""COMPUTED_VALUE"""),"No")</f>
        <v>No</v>
      </c>
      <c r="S258" s="20" t="str">
        <f>IFERROR(__xludf.DUMMYFUNCTION("""COMPUTED_VALUE"""),"https://www.goodreads.com/book/show/55529084")</f>
        <v>https://www.goodreads.com/book/show/55529084</v>
      </c>
    </row>
    <row r="259">
      <c r="A259" s="16">
        <f>IFERROR(__xludf.DUMMYFUNCTION("""COMPUTED_VALUE"""),45684.446410069446)</f>
        <v>45684.44641</v>
      </c>
      <c r="B259" s="13" t="str">
        <f>IFERROR(__xludf.DUMMYFUNCTION("""COMPUTED_VALUE"""),"Add new entry")</f>
        <v>Add new entry</v>
      </c>
      <c r="C259" s="17" t="str">
        <f>IFERROR(__xludf.DUMMYFUNCTION("""COMPUTED_VALUE"""),"Keep me")</f>
        <v>Keep me</v>
      </c>
      <c r="D259" s="18" t="str">
        <f>IFERROR(__xludf.DUMMYFUNCTION("""COMPUTED_VALUE"""),"Sara Cate")</f>
        <v>Sara Cate</v>
      </c>
      <c r="E259" s="18" t="str">
        <f>IFERROR(__xludf.DUMMYFUNCTION("""COMPUTED_VALUE"""),"M/F")</f>
        <v>M/F</v>
      </c>
      <c r="F259" s="18" t="str">
        <f>IFERROR(__xludf.DUMMYFUNCTION("""COMPUTED_VALUE"""),"Mental disability or illness")</f>
        <v>Mental disability or illness</v>
      </c>
      <c r="G259" s="18" t="str">
        <f>IFERROR(__xludf.DUMMYFUNCTION("""COMPUTED_VALUE"""),"MMC struggles with crippling anxiety")</f>
        <v>MMC struggles with crippling anxiety</v>
      </c>
      <c r="H259" s="18"/>
      <c r="I259" s="18" t="str">
        <f>IFERROR(__xludf.DUMMYFUNCTION("""COMPUTED_VALUE"""),"Contemporary")</f>
        <v>Contemporary</v>
      </c>
      <c r="J259" s="18" t="str">
        <f>IFERROR(__xludf.DUMMYFUNCTION("""COMPUTED_VALUE"""),"BDSM or Kink, Billionaires/Millionaires/Gazillionaires etc, Enemies-to-lovers (or dislike-to-love), Fake Relationship, Marriage of Convenience (or arranged marriage)")</f>
        <v>BDSM or Kink, Billionaires/Millionaires/Gazillionaires etc, Enemies-to-lovers (or dislike-to-love), Fake Relationship, Marriage of Convenience (or arranged marriage)</v>
      </c>
      <c r="K259" s="18" t="str">
        <f>IFERROR(__xludf.DUMMYFUNCTION("""COMPUTED_VALUE"""),"Europe, North America")</f>
        <v>Europe, North America</v>
      </c>
      <c r="L259" s="18" t="str">
        <f>IFERROR(__xludf.DUMMYFUNCTION("""COMPUTED_VALUE"""),"Level 4- Heavy sexual content, mature audiences only")</f>
        <v>Level 4- Heavy sexual content, mature audiences only</v>
      </c>
      <c r="M259" s="18" t="str">
        <f>IFERROR(__xludf.DUMMYFUNCTION("""COMPUTED_VALUE"""),"Dirty Talk, Impact play (spanking etc), Oral sex - cunnilingus, PIV sex (penis in vagina)")</f>
        <v>Dirty Talk, Impact play (spanking etc), Oral sex - cunnilingus, PIV sex (penis in vagina)</v>
      </c>
      <c r="N259" s="18"/>
      <c r="O259" s="18"/>
      <c r="P259" s="18" t="str">
        <f>IFERROR(__xludf.DUMMYFUNCTION("""COMPUTED_VALUE"""),"Swoon, Feel feels, Smolder")</f>
        <v>Swoon, Feel feels, Smolder</v>
      </c>
      <c r="Q259" s="18"/>
      <c r="R259" s="19" t="str">
        <f>IFERROR(__xludf.DUMMYFUNCTION("""COMPUTED_VALUE"""),"No")</f>
        <v>No</v>
      </c>
      <c r="S259" s="20" t="str">
        <f>IFERROR(__xludf.DUMMYFUNCTION("""COMPUTED_VALUE"""),"https://www.goodreads.com/book/show/208503278-keep-me")</f>
        <v>https://www.goodreads.com/book/show/208503278-keep-me</v>
      </c>
    </row>
    <row r="260">
      <c r="A260" s="16">
        <f>IFERROR(__xludf.DUMMYFUNCTION("""COMPUTED_VALUE"""),44906.83660396991)</f>
        <v>44906.8366</v>
      </c>
      <c r="B260" s="13" t="str">
        <f>IFERROR(__xludf.DUMMYFUNCTION("""COMPUTED_VALUE"""),"Add new entry")</f>
        <v>Add new entry</v>
      </c>
      <c r="C260" s="17" t="str">
        <f>IFERROR(__xludf.DUMMYFUNCTION("""COMPUTED_VALUE"""),"A Manny for Christmas")</f>
        <v>A Manny for Christmas</v>
      </c>
      <c r="D260" s="18" t="str">
        <f>IFERROR(__xludf.DUMMYFUNCTION("""COMPUTED_VALUE"""),"Sara Madderson")</f>
        <v>Sara Madderson</v>
      </c>
      <c r="E260" s="18" t="str">
        <f>IFERROR(__xludf.DUMMYFUNCTION("""COMPUTED_VALUE"""),"M/F")</f>
        <v>M/F</v>
      </c>
      <c r="F260" s="18"/>
      <c r="G260" s="18" t="str">
        <f>IFERROR(__xludf.DUMMYFUNCTION("""COMPUTED_VALUE"""),"Second chance romance. FMC is a pastry chef with two young kids, recently divorced. MMC is a volunteer for a clean water charity and has traveled the world. ")</f>
        <v>Second chance romance. FMC is a pastry chef with two young kids, recently divorced. MMC is a volunteer for a clean water charity and has traveled the world. </v>
      </c>
      <c r="H260" s="18" t="str">
        <f>IFERROR(__xludf.DUMMYFUNCTION("""COMPUTED_VALUE"""),"Dual POV, First person")</f>
        <v>Dual POV, First person</v>
      </c>
      <c r="I260" s="18" t="str">
        <f>IFERROR(__xludf.DUMMYFUNCTION("""COMPUTED_VALUE"""),"Contemporary")</f>
        <v>Contemporary</v>
      </c>
      <c r="J260" s="18" t="str">
        <f>IFERROR(__xludf.DUMMYFUNCTION("""COMPUTED_VALUE"""),"Holidays, Second Chance, Single Parent")</f>
        <v>Holidays, Second Chance, Single Parent</v>
      </c>
      <c r="K260" s="18" t="str">
        <f>IFERROR(__xludf.DUMMYFUNCTION("""COMPUTED_VALUE"""),"Europe")</f>
        <v>Europe</v>
      </c>
      <c r="L260" s="18" t="str">
        <f>IFERROR(__xludf.DUMMYFUNCTION("""COMPUTED_VALUE"""),"Level 4- Heavy sexual content, mature audiences only")</f>
        <v>Level 4- Heavy sexual content, mature audiences only</v>
      </c>
      <c r="M260" s="18" t="str">
        <f>IFERROR(__xludf.DUMMYFUNCTION("""COMPUTED_VALUE"""),"Bondage &amp; Restraints")</f>
        <v>Bondage &amp; Restraints</v>
      </c>
      <c r="N260" s="18" t="str">
        <f>IFERROR(__xludf.DUMMYFUNCTION("""COMPUTED_VALUE"""),"Series- can be read as standalones")</f>
        <v>Series- can be read as standalones</v>
      </c>
      <c r="O260" s="18"/>
      <c r="P260" s="18" t="str">
        <f>IFERROR(__xludf.DUMMYFUNCTION("""COMPUTED_VALUE"""),"Swoon, Tingle, Laugh, Feel feels, Smolder")</f>
        <v>Swoon, Tingle, Laugh, Feel feels, Smolder</v>
      </c>
      <c r="Q260" s="18"/>
      <c r="R260" s="19" t="str">
        <f>IFERROR(__xludf.DUMMYFUNCTION("""COMPUTED_VALUE"""),"No")</f>
        <v>No</v>
      </c>
      <c r="S260" s="20" t="str">
        <f>IFERROR(__xludf.DUMMYFUNCTION("""COMPUTED_VALUE"""),"https://www.goodreads.com/book/show/63066942-a-manny-for-christmas?from_search=true&amp;from_srp=true&amp;qid=eUNbtQdojq&amp;rank=1")</f>
        <v>https://www.goodreads.com/book/show/63066942-a-manny-for-christmas?from_search=true&amp;from_srp=true&amp;qid=eUNbtQdojq&amp;rank=1</v>
      </c>
    </row>
    <row r="261">
      <c r="A261" s="16">
        <f>IFERROR(__xludf.DUMMYFUNCTION("""COMPUTED_VALUE"""),45102.14391737268)</f>
        <v>45102.14392</v>
      </c>
      <c r="B261" s="13" t="str">
        <f>IFERROR(__xludf.DUMMYFUNCTION("""COMPUTED_VALUE"""),"Add new entry")</f>
        <v>Add new entry</v>
      </c>
      <c r="C261" s="17" t="str">
        <f>IFERROR(__xludf.DUMMYFUNCTION("""COMPUTED_VALUE"""),"The Understatement of the Year")</f>
        <v>The Understatement of the Year</v>
      </c>
      <c r="D261" s="18" t="str">
        <f>IFERROR(__xludf.DUMMYFUNCTION("""COMPUTED_VALUE"""),"Sarina Bowen")</f>
        <v>Sarina Bowen</v>
      </c>
      <c r="E261" s="18" t="str">
        <f>IFERROR(__xludf.DUMMYFUNCTION("""COMPUTED_VALUE"""),"M/M")</f>
        <v>M/M</v>
      </c>
      <c r="F261" s="18" t="str">
        <f>IFERROR(__xludf.DUMMYFUNCTION("""COMPUTED_VALUE"""),"LGBTQIA+ &amp; GSM (Gender and Sexual Minorities)")</f>
        <v>LGBTQIA+ &amp; GSM (Gender and Sexual Minorities)</v>
      </c>
      <c r="G261" s="18"/>
      <c r="H261" s="18" t="str">
        <f>IFERROR(__xludf.DUMMYFUNCTION("""COMPUTED_VALUE"""),"Dual POV")</f>
        <v>Dual POV</v>
      </c>
      <c r="I261" s="18" t="str">
        <f>IFERROR(__xludf.DUMMYFUNCTION("""COMPUTED_VALUE"""),"Contemporary, Sports Romance")</f>
        <v>Contemporary, Sports Romance</v>
      </c>
      <c r="J261" s="18" t="str">
        <f>IFERROR(__xludf.DUMMYFUNCTION("""COMPUTED_VALUE"""),"Athlete, Hurt/Comfort")</f>
        <v>Athlete, Hurt/Comfort</v>
      </c>
      <c r="K261" s="18" t="str">
        <f>IFERROR(__xludf.DUMMYFUNCTION("""COMPUTED_VALUE"""),"North America")</f>
        <v>North America</v>
      </c>
      <c r="L261" s="18" t="str">
        <f>IFERROR(__xludf.DUMMYFUNCTION("""COMPUTED_VALUE"""),"Level 3- Sexual content in a few chapters")</f>
        <v>Level 3- Sexual content in a few chapters</v>
      </c>
      <c r="M261" s="18"/>
      <c r="N261" s="18" t="str">
        <f>IFERROR(__xludf.DUMMYFUNCTION("""COMPUTED_VALUE"""),"Series- can be read as standalones")</f>
        <v>Series- can be read as standalones</v>
      </c>
      <c r="O261" s="18" t="str">
        <f>IFERROR(__xludf.DUMMYFUNCTION("""COMPUTED_VALUE"""),"The Ivy Years Book #3")</f>
        <v>The Ivy Years Book #3</v>
      </c>
      <c r="P261" s="18"/>
      <c r="Q261" s="18" t="str">
        <f>IFERROR(__xludf.DUMMYFUNCTION("""COMPUTED_VALUE"""),"past assault (homophobia-driven)")</f>
        <v>past assault (homophobia-driven)</v>
      </c>
      <c r="R261" s="19" t="str">
        <f>IFERROR(__xludf.DUMMYFUNCTION("""COMPUTED_VALUE"""),"No")</f>
        <v>No</v>
      </c>
      <c r="S261" s="20" t="str">
        <f>IFERROR(__xludf.DUMMYFUNCTION("""COMPUTED_VALUE"""),"https://www.goodreads.com/book/show/63292425-the-understatement-of-the-year")</f>
        <v>https://www.goodreads.com/book/show/63292425-the-understatement-of-the-year</v>
      </c>
    </row>
    <row r="262">
      <c r="A262" s="16">
        <f>IFERROR(__xludf.DUMMYFUNCTION("""COMPUTED_VALUE"""),44781.55191934027)</f>
        <v>44781.55192</v>
      </c>
      <c r="B262" s="13" t="str">
        <f>IFERROR(__xludf.DUMMYFUNCTION("""COMPUTED_VALUE"""),"Add new entry")</f>
        <v>Add new entry</v>
      </c>
      <c r="C262" s="17" t="str">
        <f>IFERROR(__xludf.DUMMYFUNCTION("""COMPUTED_VALUE"""),"You Don't Have to Say You Love Me")</f>
        <v>You Don't Have to Say You Love Me</v>
      </c>
      <c r="D262" s="18" t="str">
        <f>IFERROR(__xludf.DUMMYFUNCTION("""COMPUTED_VALUE"""),"Sarra Manning")</f>
        <v>Sarra Manning</v>
      </c>
      <c r="E262" s="18" t="str">
        <f>IFERROR(__xludf.DUMMYFUNCTION("""COMPUTED_VALUE"""),"M/F")</f>
        <v>M/F</v>
      </c>
      <c r="F262" s="18"/>
      <c r="G262" s="18"/>
      <c r="H262" s="18" t="str">
        <f>IFERROR(__xludf.DUMMYFUNCTION("""COMPUTED_VALUE"""),"Third person")</f>
        <v>Third person</v>
      </c>
      <c r="I262" s="18" t="str">
        <f>IFERROR(__xludf.DUMMYFUNCTION("""COMPUTED_VALUE"""),"Contemporary")</f>
        <v>Contemporary</v>
      </c>
      <c r="J262" s="18" t="str">
        <f>IFERROR(__xludf.DUMMYFUNCTION("""COMPUTED_VALUE"""),"Fake Relationship, Friends-to-lovers, Relationship Coach-  (ie; Teach me how to kiss), Ordinary MC- Average looks or career, Slow Burn")</f>
        <v>Fake Relationship, Friends-to-lovers, Relationship Coach-  (ie; Teach me how to kiss), Ordinary MC- Average looks or career, Slow Burn</v>
      </c>
      <c r="K262" s="18"/>
      <c r="L262" s="18" t="str">
        <f>IFERROR(__xludf.DUMMYFUNCTION("""COMPUTED_VALUE"""),"Level 3- Sexual content in a few chapters")</f>
        <v>Level 3- Sexual content in a few chapters</v>
      </c>
      <c r="M262" s="18"/>
      <c r="N262" s="18" t="str">
        <f>IFERROR(__xludf.DUMMYFUNCTION("""COMPUTED_VALUE"""),"Standalone (not part of a series)")</f>
        <v>Standalone (not part of a series)</v>
      </c>
      <c r="O262" s="18"/>
      <c r="P262" s="18" t="str">
        <f>IFERROR(__xludf.DUMMYFUNCTION("""COMPUTED_VALUE"""),"Tingle, Feel feels")</f>
        <v>Tingle, Feel feels</v>
      </c>
      <c r="Q262" s="18"/>
      <c r="R262" s="19" t="str">
        <f>IFERROR(__xludf.DUMMYFUNCTION("""COMPUTED_VALUE"""),"No")</f>
        <v>No</v>
      </c>
      <c r="S262" s="20" t="str">
        <f>IFERROR(__xludf.DUMMYFUNCTION("""COMPUTED_VALUE"""),"https://www.goodreads.com/book/show/8471815-you-don-t-have-to-say-you-love-me")</f>
        <v>https://www.goodreads.com/book/show/8471815-you-don-t-have-to-say-you-love-me</v>
      </c>
    </row>
    <row r="263">
      <c r="A263" s="16">
        <f>IFERROR(__xludf.DUMMYFUNCTION("""COMPUTED_VALUE"""),44781.55771047454)</f>
        <v>44781.55771</v>
      </c>
      <c r="B263" s="13" t="str">
        <f>IFERROR(__xludf.DUMMYFUNCTION("""COMPUTED_VALUE"""),"Add new entry")</f>
        <v>Add new entry</v>
      </c>
      <c r="C263" s="17" t="str">
        <f>IFERROR(__xludf.DUMMYFUNCTION("""COMPUTED_VALUE"""),"A Touch of Darkness")</f>
        <v>A Touch of Darkness</v>
      </c>
      <c r="D263" s="18" t="str">
        <f>IFERROR(__xludf.DUMMYFUNCTION("""COMPUTED_VALUE"""),"Scarlett St. Clair")</f>
        <v>Scarlett St. Clair</v>
      </c>
      <c r="E263" s="18" t="str">
        <f>IFERROR(__xludf.DUMMYFUNCTION("""COMPUTED_VALUE"""),"M/F")</f>
        <v>M/F</v>
      </c>
      <c r="F263" s="18"/>
      <c r="G263" s="18"/>
      <c r="H263" s="18"/>
      <c r="I263" s="18" t="str">
        <f>IFERROR(__xludf.DUMMYFUNCTION("""COMPUTED_VALUE"""),"Erotic Romance, Fantasy &amp; Gothic, Paranormal, Romantic Suspense")</f>
        <v>Erotic Romance, Fantasy &amp; Gothic, Paranormal, Romantic Suspense</v>
      </c>
      <c r="J263" s="18" t="str">
        <f>IFERROR(__xludf.DUMMYFUNCTION("""COMPUTED_VALUE"""),"Antihero/Villian/Stockholm Syndrome, Creatures or Monsters- Dragon/Orc/Fae/etc, Enemies-to-lovers (or dislike-to-love), Forbidden or Taboo, Retellings- Fairytale/Folklore/Mythology")</f>
        <v>Antihero/Villian/Stockholm Syndrome, Creatures or Monsters- Dragon/Orc/Fae/etc, Enemies-to-lovers (or dislike-to-love), Forbidden or Taboo, Retellings- Fairytale/Folklore/Mythology</v>
      </c>
      <c r="K263" s="18"/>
      <c r="L263" s="18" t="str">
        <f>IFERROR(__xludf.DUMMYFUNCTION("""COMPUTED_VALUE"""),"Level 4- Heavy sexual content, mature audiences only")</f>
        <v>Level 4- Heavy sexual content, mature audiences only</v>
      </c>
      <c r="M263" s="18"/>
      <c r="N263" s="18"/>
      <c r="O263" s="18" t="str">
        <f>IFERROR(__xludf.DUMMYFUNCTION("""COMPUTED_VALUE"""),"Hades x Persephone #1")</f>
        <v>Hades x Persephone #1</v>
      </c>
      <c r="P263" s="18" t="str">
        <f>IFERROR(__xludf.DUMMYFUNCTION("""COMPUTED_VALUE"""),"Tingle, Feel feels")</f>
        <v>Tingle, Feel feels</v>
      </c>
      <c r="Q263" s="18"/>
      <c r="R263" s="19" t="str">
        <f>IFERROR(__xludf.DUMMYFUNCTION("""COMPUTED_VALUE"""),"No")</f>
        <v>No</v>
      </c>
      <c r="S263" s="20" t="str">
        <f>IFERROR(__xludf.DUMMYFUNCTION("""COMPUTED_VALUE"""),"https://www.goodreads.com/book/show/55215339-a-touch-of-darkness")</f>
        <v>https://www.goodreads.com/book/show/55215339-a-touch-of-darkness</v>
      </c>
    </row>
    <row r="264">
      <c r="A264" s="16">
        <f>IFERROR(__xludf.DUMMYFUNCTION("""COMPUTED_VALUE"""),44782.84229633102)</f>
        <v>44782.8423</v>
      </c>
      <c r="B264" s="13" t="str">
        <f>IFERROR(__xludf.DUMMYFUNCTION("""COMPUTED_VALUE"""),"Add new entry")</f>
        <v>Add new entry</v>
      </c>
      <c r="C264" s="17" t="str">
        <f>IFERROR(__xludf.DUMMYFUNCTION("""COMPUTED_VALUE"""),"The Replacements")</f>
        <v>The Replacements</v>
      </c>
      <c r="D264" s="18" t="str">
        <f>IFERROR(__xludf.DUMMYFUNCTION("""COMPUTED_VALUE"""),"Shae Sanders")</f>
        <v>Shae Sanders</v>
      </c>
      <c r="E264" s="18" t="str">
        <f>IFERROR(__xludf.DUMMYFUNCTION("""COMPUTED_VALUE"""),"M/F")</f>
        <v>M/F</v>
      </c>
      <c r="F264" s="18" t="str">
        <f>IFERROR(__xludf.DUMMYFUNCTION("""COMPUTED_VALUE"""),"BIPoC (Black, Indigenous, People of Colour), Fat/Plus Size/Body Positive")</f>
        <v>BIPoC (Black, Indigenous, People of Colour), Fat/Plus Size/Body Positive</v>
      </c>
      <c r="G264" s="18" t="str">
        <f>IFERROR(__xludf.DUMMYFUNCTION("""COMPUTED_VALUE"""),"CEO MMC/Assistant FMC")</f>
        <v>CEO MMC/Assistant FMC</v>
      </c>
      <c r="H264" s="18" t="str">
        <f>IFERROR(__xludf.DUMMYFUNCTION("""COMPUTED_VALUE"""),"Dual POV")</f>
        <v>Dual POV</v>
      </c>
      <c r="I264" s="18" t="str">
        <f>IFERROR(__xludf.DUMMYFUNCTION("""COMPUTED_VALUE"""),"Contemporary")</f>
        <v>Contemporary</v>
      </c>
      <c r="J264" s="18" t="str">
        <f>IFERROR(__xludf.DUMMYFUNCTION("""COMPUTED_VALUE"""),"Billionaires/Millionaires/Gazillionaires etc, Coworkers or Colleagues, Enemies-to-lovers (or dislike-to-love), Hurt/Comfort")</f>
        <v>Billionaires/Millionaires/Gazillionaires etc, Coworkers or Colleagues, Enemies-to-lovers (or dislike-to-love), Hurt/Comfort</v>
      </c>
      <c r="K264" s="18" t="str">
        <f>IFERROR(__xludf.DUMMYFUNCTION("""COMPUTED_VALUE"""),"North America")</f>
        <v>North America</v>
      </c>
      <c r="L264" s="18" t="str">
        <f>IFERROR(__xludf.DUMMYFUNCTION("""COMPUTED_VALUE"""),"Level 3- Sexual content in a few chapters")</f>
        <v>Level 3- Sexual content in a few chapters</v>
      </c>
      <c r="M264" s="18"/>
      <c r="N264" s="18" t="str">
        <f>IFERROR(__xludf.DUMMYFUNCTION("""COMPUTED_VALUE"""),"Standalone (not part of a series)")</f>
        <v>Standalone (not part of a series)</v>
      </c>
      <c r="O264" s="18"/>
      <c r="P264" s="18"/>
      <c r="Q264" s="18"/>
      <c r="R264" s="19" t="str">
        <f>IFERROR(__xludf.DUMMYFUNCTION("""COMPUTED_VALUE"""),"No")</f>
        <v>No</v>
      </c>
      <c r="S264" s="20" t="str">
        <f>IFERROR(__xludf.DUMMYFUNCTION("""COMPUTED_VALUE"""),"https://www.goodreads.com/book/show/59990438-the-replacements")</f>
        <v>https://www.goodreads.com/book/show/59990438-the-replacements</v>
      </c>
    </row>
    <row r="265">
      <c r="A265" s="16">
        <f>IFERROR(__xludf.DUMMYFUNCTION("""COMPUTED_VALUE"""),44868.8397425)</f>
        <v>44868.83974</v>
      </c>
      <c r="B265" s="13" t="str">
        <f>IFERROR(__xludf.DUMMYFUNCTION("""COMPUTED_VALUE"""),"Add new entry")</f>
        <v>Add new entry</v>
      </c>
      <c r="C265" s="17" t="str">
        <f>IFERROR(__xludf.DUMMYFUNCTION("""COMPUTED_VALUE"""),"Check Your Work")</f>
        <v>Check Your Work</v>
      </c>
      <c r="D265" s="18" t="str">
        <f>IFERROR(__xludf.DUMMYFUNCTION("""COMPUTED_VALUE"""),"Skye Kilaen")</f>
        <v>Skye Kilaen</v>
      </c>
      <c r="E265" s="18" t="str">
        <f>IFERROR(__xludf.DUMMYFUNCTION("""COMPUTED_VALUE"""),"M/F")</f>
        <v>M/F</v>
      </c>
      <c r="F265" s="18" t="str">
        <f>IFERROR(__xludf.DUMMYFUNCTION("""COMPUTED_VALUE"""),"LGBTQIA+ &amp; GSM (Gender and Sexual Minorities)")</f>
        <v>LGBTQIA+ &amp; GSM (Gender and Sexual Minorities)</v>
      </c>
      <c r="G265" s="18" t="str">
        <f>IFERROR(__xludf.DUMMYFUNCTION("""COMPUTED_VALUE"""),"Both are STEM!  Heroine is a programmer, hero is a math teacher")</f>
        <v>Both are STEM!  Heroine is a programmer, hero is a math teacher</v>
      </c>
      <c r="H265" s="18" t="str">
        <f>IFERROR(__xludf.DUMMYFUNCTION("""COMPUTED_VALUE"""),"Dual POV, Third person")</f>
        <v>Dual POV, Third person</v>
      </c>
      <c r="I265" s="18" t="str">
        <f>IFERROR(__xludf.DUMMYFUNCTION("""COMPUTED_VALUE"""),"Contemporary, Romantic Comedy")</f>
        <v>Contemporary, Romantic Comedy</v>
      </c>
      <c r="J265" s="18" t="str">
        <f>IFERROR(__xludf.DUMMYFUNCTION("""COMPUTED_VALUE"""),"Age Difference, Fake Relationship, Geek/Nerd/Misfit/Genius, Ordinary MC- Average looks or career, Sweet MC- beta hero/kindhearted heroine/etc, Tattoos &amp; Piercings")</f>
        <v>Age Difference, Fake Relationship, Geek/Nerd/Misfit/Genius, Ordinary MC- Average looks or career, Sweet MC- beta hero/kindhearted heroine/etc, Tattoos &amp; Piercings</v>
      </c>
      <c r="K265" s="18" t="str">
        <f>IFERROR(__xludf.DUMMYFUNCTION("""COMPUTED_VALUE"""),"North America")</f>
        <v>North America</v>
      </c>
      <c r="L265" s="18" t="str">
        <f>IFERROR(__xludf.DUMMYFUNCTION("""COMPUTED_VALUE"""),"Level 3- Sexual content in a few chapters")</f>
        <v>Level 3- Sexual content in a few chapters</v>
      </c>
      <c r="M265" s="18"/>
      <c r="N265" s="18" t="str">
        <f>IFERROR(__xludf.DUMMYFUNCTION("""COMPUTED_VALUE"""),"Series- can be read as standalones")</f>
        <v>Series- can be read as standalones</v>
      </c>
      <c r="O265" s="18" t="str">
        <f>IFERROR(__xludf.DUMMYFUNCTION("""COMPUTED_VALUE"""),"Love at Knockdown #3")</f>
        <v>Love at Knockdown #3</v>
      </c>
      <c r="P265" s="18" t="str">
        <f>IFERROR(__xludf.DUMMYFUNCTION("""COMPUTED_VALUE"""),"Swoon, Dream")</f>
        <v>Swoon, Dream</v>
      </c>
      <c r="Q265" s="18" t="str">
        <f>IFERROR(__xludf.DUMMYFUNCTION("""COMPUTED_VALUE"""),"Hero faced queerphobia in the past")</f>
        <v>Hero faced queerphobia in the past</v>
      </c>
      <c r="R265" s="19" t="str">
        <f>IFERROR(__xludf.DUMMYFUNCTION("""COMPUTED_VALUE"""),"No")</f>
        <v>No</v>
      </c>
      <c r="S265" s="20" t="str">
        <f>IFERROR(__xludf.DUMMYFUNCTION("""COMPUTED_VALUE"""),"https://www.goodreads.com/book/show/59867218")</f>
        <v>https://www.goodreads.com/book/show/59867218</v>
      </c>
    </row>
    <row r="266">
      <c r="A266" s="16">
        <f>IFERROR(__xludf.DUMMYFUNCTION("""COMPUTED_VALUE"""),44781.562495937505)</f>
        <v>44781.5625</v>
      </c>
      <c r="B266" s="13" t="str">
        <f>IFERROR(__xludf.DUMMYFUNCTION("""COMPUTED_VALUE"""),"Add new entry")</f>
        <v>Add new entry</v>
      </c>
      <c r="C266" s="17" t="str">
        <f>IFERROR(__xludf.DUMMYFUNCTION("""COMPUTED_VALUE"""),"Gurpreet and the Wrong Twin")</f>
        <v>Gurpreet and the Wrong Twin</v>
      </c>
      <c r="D266" s="18" t="str">
        <f>IFERROR(__xludf.DUMMYFUNCTION("""COMPUTED_VALUE"""),"Sookh Kaur")</f>
        <v>Sookh Kaur</v>
      </c>
      <c r="E266" s="18" t="str">
        <f>IFERROR(__xludf.DUMMYFUNCTION("""COMPUTED_VALUE"""),"M/F")</f>
        <v>M/F</v>
      </c>
      <c r="F266" s="18" t="str">
        <f>IFERROR(__xludf.DUMMYFUNCTION("""COMPUTED_VALUE"""),"BIPoC (Black, Indigenous, People of Colour), Religious Minorities, FMC and MMC are Sikh Punjabi American")</f>
        <v>BIPoC (Black, Indigenous, People of Colour), Religious Minorities, FMC and MMC are Sikh Punjabi American</v>
      </c>
      <c r="G266" s="18"/>
      <c r="H266" s="18" t="str">
        <f>IFERROR(__xludf.DUMMYFUNCTION("""COMPUTED_VALUE"""),"Dual POV")</f>
        <v>Dual POV</v>
      </c>
      <c r="I266" s="18" t="str">
        <f>IFERROR(__xludf.DUMMYFUNCTION("""COMPUTED_VALUE"""),"Contemporary, Multicultural/Interracial, Romantic Comedy")</f>
        <v>Contemporary, Multicultural/Interracial, Romantic Comedy</v>
      </c>
      <c r="J266" s="18" t="str">
        <f>IFERROR(__xludf.DUMMYFUNCTION("""COMPUTED_VALUE"""),"Blue Collar/Farmer/Rancher etc, Fake Relationship, Geek/Nerd/Misfit/Genius, Relationship Coach-  (ie; Teach me how to kiss), Medical- Doctor/Nurse/Vet etc, Motorcycle Club, Slow Burn, Small Town, Sweet MC- beta hero/kindhearted heroine/etc")</f>
        <v>Blue Collar/Farmer/Rancher etc, Fake Relationship, Geek/Nerd/Misfit/Genius, Relationship Coach-  (ie; Teach me how to kiss), Medical- Doctor/Nurse/Vet etc, Motorcycle Club, Slow Burn, Small Town, Sweet MC- beta hero/kindhearted heroine/etc</v>
      </c>
      <c r="K266" s="18" t="str">
        <f>IFERROR(__xludf.DUMMYFUNCTION("""COMPUTED_VALUE"""),"North America")</f>
        <v>North America</v>
      </c>
      <c r="L266" s="18" t="str">
        <f>IFERROR(__xludf.DUMMYFUNCTION("""COMPUTED_VALUE"""),"Level 3- Sexual content in a few chapters")</f>
        <v>Level 3- Sexual content in a few chapters</v>
      </c>
      <c r="M266" s="18"/>
      <c r="N266" s="18" t="str">
        <f>IFERROR(__xludf.DUMMYFUNCTION("""COMPUTED_VALUE"""),"Series- can be read as standalones")</f>
        <v>Series- can be read as standalones</v>
      </c>
      <c r="O266" s="18" t="str">
        <f>IFERROR(__xludf.DUMMYFUNCTION("""COMPUTED_VALUE"""),"Five Friends With Chai #3")</f>
        <v>Five Friends With Chai #3</v>
      </c>
      <c r="P266" s="18" t="str">
        <f>IFERROR(__xludf.DUMMYFUNCTION("""COMPUTED_VALUE"""),"Feel feels, Learn")</f>
        <v>Feel feels, Learn</v>
      </c>
      <c r="Q266" s="18" t="str">
        <f>IFERROR(__xludf.DUMMYFUNCTION("""COMPUTED_VALUE"""),"Grief, illness of grandparent")</f>
        <v>Grief, illness of grandparent</v>
      </c>
      <c r="R266" s="19" t="str">
        <f>IFERROR(__xludf.DUMMYFUNCTION("""COMPUTED_VALUE"""),"No")</f>
        <v>No</v>
      </c>
      <c r="S266" s="20" t="str">
        <f>IFERROR(__xludf.DUMMYFUNCTION("""COMPUTED_VALUE"""),"https://www.goodreads.com/book/show/56677934-gurpreet-and-the-wrong-twin")</f>
        <v>https://www.goodreads.com/book/show/56677934-gurpreet-and-the-wrong-twin</v>
      </c>
    </row>
    <row r="267">
      <c r="A267" s="16">
        <f>IFERROR(__xludf.DUMMYFUNCTION("""COMPUTED_VALUE"""),44781.566561875)</f>
        <v>44781.56656</v>
      </c>
      <c r="B267" s="13" t="str">
        <f>IFERROR(__xludf.DUMMYFUNCTION("""COMPUTED_VALUE"""),"Add new entry")</f>
        <v>Add new entry</v>
      </c>
      <c r="C267" s="17" t="str">
        <f>IFERROR(__xludf.DUMMYFUNCTION("""COMPUTED_VALUE"""),"Coffee Girl")</f>
        <v>Coffee Girl</v>
      </c>
      <c r="D267" s="18" t="str">
        <f>IFERROR(__xludf.DUMMYFUNCTION("""COMPUTED_VALUE"""),"Sophie Sinclair")</f>
        <v>Sophie Sinclair</v>
      </c>
      <c r="E267" s="18" t="str">
        <f>IFERROR(__xludf.DUMMYFUNCTION("""COMPUTED_VALUE"""),"M/F")</f>
        <v>M/F</v>
      </c>
      <c r="F267" s="18"/>
      <c r="G267" s="18"/>
      <c r="H267" s="18"/>
      <c r="I267" s="18" t="str">
        <f>IFERROR(__xludf.DUMMYFUNCTION("""COMPUTED_VALUE"""),"Contemporary")</f>
        <v>Contemporary</v>
      </c>
      <c r="J267" s="18" t="str">
        <f>IFERROR(__xludf.DUMMYFUNCTION("""COMPUTED_VALUE"""),"Celebrities- Rock star/Actor/Model")</f>
        <v>Celebrities- Rock star/Actor/Model</v>
      </c>
      <c r="K267" s="18"/>
      <c r="L267" s="18" t="str">
        <f>IFERROR(__xludf.DUMMYFUNCTION("""COMPUTED_VALUE"""),"Level 3- Sexual content in a few chapters")</f>
        <v>Level 3- Sexual content in a few chapters</v>
      </c>
      <c r="M267" s="18"/>
      <c r="N267" s="18"/>
      <c r="O267" s="18" t="str">
        <f>IFERROR(__xludf.DUMMYFUNCTION("""COMPUTED_VALUE"""),"Coffee Book #1")</f>
        <v>Coffee Book #1</v>
      </c>
      <c r="P267" s="18" t="str">
        <f>IFERROR(__xludf.DUMMYFUNCTION("""COMPUTED_VALUE"""),"Swoon, Laugh")</f>
        <v>Swoon, Laugh</v>
      </c>
      <c r="Q267" s="18"/>
      <c r="R267" s="19" t="str">
        <f>IFERROR(__xludf.DUMMYFUNCTION("""COMPUTED_VALUE"""),"No")</f>
        <v>No</v>
      </c>
      <c r="S267" s="20" t="str">
        <f>IFERROR(__xludf.DUMMYFUNCTION("""COMPUTED_VALUE"""),"https://www.goodreads.com/book/show/48766474-coffee-girl")</f>
        <v>https://www.goodreads.com/book/show/48766474-coffee-girl</v>
      </c>
    </row>
    <row r="268">
      <c r="A268" s="16">
        <f>IFERROR(__xludf.DUMMYFUNCTION("""COMPUTED_VALUE"""),45071.410355555556)</f>
        <v>45071.41036</v>
      </c>
      <c r="B268" s="13" t="str">
        <f>IFERROR(__xludf.DUMMYFUNCTION("""COMPUTED_VALUE"""),"Add new entry")</f>
        <v>Add new entry</v>
      </c>
      <c r="C268" s="17" t="str">
        <f>IFERROR(__xludf.DUMMYFUNCTION("""COMPUTED_VALUE"""),"A Court This Cruel and Lovely")</f>
        <v>A Court This Cruel and Lovely</v>
      </c>
      <c r="D268" s="18" t="str">
        <f>IFERROR(__xludf.DUMMYFUNCTION("""COMPUTED_VALUE"""),"Stacia Stark")</f>
        <v>Stacia Stark</v>
      </c>
      <c r="E268" s="18" t="str">
        <f>IFERROR(__xludf.DUMMYFUNCTION("""COMPUTED_VALUE"""),"M/F")</f>
        <v>M/F</v>
      </c>
      <c r="F268" s="18"/>
      <c r="G268" s="18"/>
      <c r="H268" s="18"/>
      <c r="I268" s="18" t="str">
        <f>IFERROR(__xludf.DUMMYFUNCTION("""COMPUTED_VALUE"""),"Fantasy")</f>
        <v>Fantasy</v>
      </c>
      <c r="J268" s="18" t="str">
        <f>IFERROR(__xludf.DUMMYFUNCTION("""COMPUTED_VALUE"""),"Enemies-to-lovers (or dislike-to-love), Forced Proximity, Slow Burn")</f>
        <v>Enemies-to-lovers (or dislike-to-love), Forced Proximity, Slow Burn</v>
      </c>
      <c r="K268" s="18"/>
      <c r="L268" s="18" t="str">
        <f>IFERROR(__xludf.DUMMYFUNCTION("""COMPUTED_VALUE"""),"Level 3- Sexual content in a few chapters")</f>
        <v>Level 3- Sexual content in a few chapters</v>
      </c>
      <c r="M268" s="18"/>
      <c r="N268" s="18" t="str">
        <f>IFERROR(__xludf.DUMMYFUNCTION("""COMPUTED_VALUE"""),"Series- follows one couple")</f>
        <v>Series- follows one couple</v>
      </c>
      <c r="O268" s="18" t="str">
        <f>IFERROR(__xludf.DUMMYFUNCTION("""COMPUTED_VALUE"""),"Kingdom of Lies #1")</f>
        <v>Kingdom of Lies #1</v>
      </c>
      <c r="P268" s="18" t="str">
        <f>IFERROR(__xludf.DUMMYFUNCTION("""COMPUTED_VALUE"""),"Dream, Transported")</f>
        <v>Dream, Transported</v>
      </c>
      <c r="Q268" s="18"/>
      <c r="R268" s="19" t="str">
        <f>IFERROR(__xludf.DUMMYFUNCTION("""COMPUTED_VALUE"""),"No")</f>
        <v>No</v>
      </c>
      <c r="S268" s="20" t="str">
        <f>IFERROR(__xludf.DUMMYFUNCTION("""COMPUTED_VALUE"""),"https://www.goodreads.com/book/show/122779502-a-court-this-cruel-and-lovely")</f>
        <v>https://www.goodreads.com/book/show/122779502-a-court-this-cruel-and-lovely</v>
      </c>
    </row>
    <row r="269">
      <c r="A269" s="16">
        <f>IFERROR(__xludf.DUMMYFUNCTION("""COMPUTED_VALUE"""),44782.8103828588)</f>
        <v>44782.81038</v>
      </c>
      <c r="B269" s="13" t="str">
        <f>IFERROR(__xludf.DUMMYFUNCTION("""COMPUTED_VALUE"""),"Add new entry")</f>
        <v>Add new entry</v>
      </c>
      <c r="C269" s="17" t="str">
        <f>IFERROR(__xludf.DUMMYFUNCTION("""COMPUTED_VALUE"""),"A Rogue in the Making")</f>
        <v>A Rogue in the Making</v>
      </c>
      <c r="D269" s="18" t="str">
        <f>IFERROR(__xludf.DUMMYFUNCTION("""COMPUTED_VALUE"""),"Stacy Reid")</f>
        <v>Stacy Reid</v>
      </c>
      <c r="E269" s="18" t="str">
        <f>IFERROR(__xludf.DUMMYFUNCTION("""COMPUTED_VALUE"""),"M/F")</f>
        <v>M/F</v>
      </c>
      <c r="F269" s="18" t="str">
        <f>IFERROR(__xludf.DUMMYFUNCTION("""COMPUTED_VALUE"""),"Neurodivergent (Autism, ADHD, dyspraxia, dyslexia, etc)")</f>
        <v>Neurodivergent (Autism, ADHD, dyspraxia, dyslexia, etc)</v>
      </c>
      <c r="G269" s="18"/>
      <c r="H269" s="18" t="str">
        <f>IFERROR(__xludf.DUMMYFUNCTION("""COMPUTED_VALUE"""),"Dual POV")</f>
        <v>Dual POV</v>
      </c>
      <c r="I269" s="18" t="str">
        <f>IFERROR(__xludf.DUMMYFUNCTION("""COMPUTED_VALUE"""),"Historical Romance")</f>
        <v>Historical Romance</v>
      </c>
      <c r="J269" s="18" t="str">
        <f>IFERROR(__xludf.DUMMYFUNCTION("""COMPUTED_VALUE"""),"Forced Proximity, Mistaken or False Identity, Regency, Virgin MC")</f>
        <v>Forced Proximity, Mistaken or False Identity, Regency, Virgin MC</v>
      </c>
      <c r="K269" s="18" t="str">
        <f>IFERROR(__xludf.DUMMYFUNCTION("""COMPUTED_VALUE"""),"Europe")</f>
        <v>Europe</v>
      </c>
      <c r="L269" s="18" t="str">
        <f>IFERROR(__xludf.DUMMYFUNCTION("""COMPUTED_VALUE"""),"Level 3- Sexual content in a few chapters")</f>
        <v>Level 3- Sexual content in a few chapters</v>
      </c>
      <c r="M269" s="18"/>
      <c r="N269" s="18" t="str">
        <f>IFERROR(__xludf.DUMMYFUNCTION("""COMPUTED_VALUE"""),"Series- can be read as standalones")</f>
        <v>Series- can be read as standalones</v>
      </c>
      <c r="O269" s="18" t="str">
        <f>IFERROR(__xludf.DUMMYFUNCTION("""COMPUTED_VALUE"""),"Forever Yours book 11")</f>
        <v>Forever Yours book 11</v>
      </c>
      <c r="P269" s="18"/>
      <c r="Q269" s="18"/>
      <c r="R269" s="19" t="str">
        <f>IFERROR(__xludf.DUMMYFUNCTION("""COMPUTED_VALUE"""),"No")</f>
        <v>No</v>
      </c>
      <c r="S269" s="20" t="str">
        <f>IFERROR(__xludf.DUMMYFUNCTION("""COMPUTED_VALUE"""),"https://www.goodreads.com/book/show/52905826-a-rogue-in-the-making?from_search=true&amp;from_srp=true&amp;qid=3dPNxsv14g&amp;rank=16")</f>
        <v>https://www.goodreads.com/book/show/52905826-a-rogue-in-the-making?from_search=true&amp;from_srp=true&amp;qid=3dPNxsv14g&amp;rank=16</v>
      </c>
    </row>
    <row r="270">
      <c r="A270" s="16">
        <f>IFERROR(__xludf.DUMMYFUNCTION("""COMPUTED_VALUE"""),44813.2172130324)</f>
        <v>44813.21721</v>
      </c>
      <c r="B270" s="13" t="str">
        <f>IFERROR(__xludf.DUMMYFUNCTION("""COMPUTED_VALUE"""),"Add new entry")</f>
        <v>Add new entry</v>
      </c>
      <c r="C270" s="17" t="str">
        <f>IFERROR(__xludf.DUMMYFUNCTION("""COMPUTED_VALUE"""),"Ex Games")</f>
        <v>Ex Games</v>
      </c>
      <c r="D270" s="18" t="str">
        <f>IFERROR(__xludf.DUMMYFUNCTION("""COMPUTED_VALUE"""),"Stella Rhys")</f>
        <v>Stella Rhys</v>
      </c>
      <c r="E270" s="18" t="str">
        <f>IFERROR(__xludf.DUMMYFUNCTION("""COMPUTED_VALUE"""),"M/F")</f>
        <v>M/F</v>
      </c>
      <c r="F270" s="18"/>
      <c r="G270" s="18"/>
      <c r="H270" s="18" t="str">
        <f>IFERROR(__xludf.DUMMYFUNCTION("""COMPUTED_VALUE"""),"Single POV")</f>
        <v>Single POV</v>
      </c>
      <c r="I270" s="18" t="str">
        <f>IFERROR(__xludf.DUMMYFUNCTION("""COMPUTED_VALUE"""),"Contemporary, Erotic Romance")</f>
        <v>Contemporary, Erotic Romance</v>
      </c>
      <c r="J270" s="18" t="str">
        <f>IFERROR(__xludf.DUMMYFUNCTION("""COMPUTED_VALUE"""),"Billionaires/Millionaires/Gazillionaires etc, Enemies-to-lovers (or dislike-to-love), Fake Relationship, Off Limits (ie; Brother's Best Friend)")</f>
        <v>Billionaires/Millionaires/Gazillionaires etc, Enemies-to-lovers (or dislike-to-love), Fake Relationship, Off Limits (ie; Brother's Best Friend)</v>
      </c>
      <c r="K270" s="18" t="str">
        <f>IFERROR(__xludf.DUMMYFUNCTION("""COMPUTED_VALUE"""),"North America")</f>
        <v>North America</v>
      </c>
      <c r="L270" s="18" t="str">
        <f>IFERROR(__xludf.DUMMYFUNCTION("""COMPUTED_VALUE"""),"Level 4- Heavy sexual content, mature audiences only")</f>
        <v>Level 4- Heavy sexual content, mature audiences only</v>
      </c>
      <c r="M270" s="18"/>
      <c r="N270" s="18" t="str">
        <f>IFERROR(__xludf.DUMMYFUNCTION("""COMPUTED_VALUE"""),"Standalone (not part of a series)")</f>
        <v>Standalone (not part of a series)</v>
      </c>
      <c r="O270" s="18"/>
      <c r="P270" s="18" t="str">
        <f>IFERROR(__xludf.DUMMYFUNCTION("""COMPUTED_VALUE"""),"Swoon, Tingle, Feel feels")</f>
        <v>Swoon, Tingle, Feel feels</v>
      </c>
      <c r="Q270" s="18" t="str">
        <f>IFERROR(__xludf.DUMMYFUNCTION("""COMPUTED_VALUE"""),"Mention of miscarriage ")</f>
        <v>Mention of miscarriage </v>
      </c>
      <c r="R270" s="19" t="str">
        <f>IFERROR(__xludf.DUMMYFUNCTION("""COMPUTED_VALUE"""),"No")</f>
        <v>No</v>
      </c>
      <c r="S270" s="20" t="str">
        <f>IFERROR(__xludf.DUMMYFUNCTION("""COMPUTED_VALUE"""),"https://www.goodreads.com/book/show/32607703-ex-games")</f>
        <v>https://www.goodreads.com/book/show/32607703-ex-games</v>
      </c>
    </row>
    <row r="271">
      <c r="A271" s="16">
        <f>IFERROR(__xludf.DUMMYFUNCTION("""COMPUTED_VALUE"""),45313.91327453703)</f>
        <v>45313.91327</v>
      </c>
      <c r="B271" s="13" t="str">
        <f>IFERROR(__xludf.DUMMYFUNCTION("""COMPUTED_VALUE"""),"Add new entry")</f>
        <v>Add new entry</v>
      </c>
      <c r="C271" s="17" t="str">
        <f>IFERROR(__xludf.DUMMYFUNCTION("""COMPUTED_VALUE"""),"That Kind of Guy")</f>
        <v>That Kind of Guy</v>
      </c>
      <c r="D271" s="18" t="str">
        <f>IFERROR(__xludf.DUMMYFUNCTION("""COMPUTED_VALUE"""),"Stephanie Archer")</f>
        <v>Stephanie Archer</v>
      </c>
      <c r="E271" s="18" t="str">
        <f>IFERROR(__xludf.DUMMYFUNCTION("""COMPUTED_VALUE"""),"M/F")</f>
        <v>M/F</v>
      </c>
      <c r="F271" s="18"/>
      <c r="G271" s="18"/>
      <c r="H271" s="18" t="str">
        <f>IFERROR(__xludf.DUMMYFUNCTION("""COMPUTED_VALUE"""),"Dual POV")</f>
        <v>Dual POV</v>
      </c>
      <c r="I271" s="18" t="str">
        <f>IFERROR(__xludf.DUMMYFUNCTION("""COMPUTED_VALUE"""),"Contemporary, Romantic Comedy")</f>
        <v>Contemporary, Romantic Comedy</v>
      </c>
      <c r="J271" s="18" t="str">
        <f>IFERROR(__xludf.DUMMYFUNCTION("""COMPUTED_VALUE"""),"Enemies-to-lovers (or dislike-to-love), Fake Relationship, Forced Proximity, Marriage of Convenience (or arranged marriage), Small Town")</f>
        <v>Enemies-to-lovers (or dislike-to-love), Fake Relationship, Forced Proximity, Marriage of Convenience (or arranged marriage), Small Town</v>
      </c>
      <c r="K271" s="18" t="str">
        <f>IFERROR(__xludf.DUMMYFUNCTION("""COMPUTED_VALUE"""),"North America")</f>
        <v>North America</v>
      </c>
      <c r="L271" s="18" t="str">
        <f>IFERROR(__xludf.DUMMYFUNCTION("""COMPUTED_VALUE"""),"Level 4- Heavy sexual content, mature audiences only")</f>
        <v>Level 4- Heavy sexual content, mature audiences only</v>
      </c>
      <c r="M271" s="18" t="str">
        <f>IFERROR(__xludf.DUMMYFUNCTION("""COMPUTED_VALUE"""),"Dirty Talk, Oral sex - cunnilingus, Oral sex - fellatio")</f>
        <v>Dirty Talk, Oral sex - cunnilingus, Oral sex - fellatio</v>
      </c>
      <c r="N271" s="18" t="str">
        <f>IFERROR(__xludf.DUMMYFUNCTION("""COMPUTED_VALUE"""),"Series- can be read as standalones")</f>
        <v>Series- can be read as standalones</v>
      </c>
      <c r="O271" s="18" t="str">
        <f>IFERROR(__xludf.DUMMYFUNCTION("""COMPUTED_VALUE"""),"Queen's Cove #1")</f>
        <v>Queen's Cove #1</v>
      </c>
      <c r="P271" s="18" t="str">
        <f>IFERROR(__xludf.DUMMYFUNCTION("""COMPUTED_VALUE"""),"Tingle, Laugh")</f>
        <v>Tingle, Laugh</v>
      </c>
      <c r="Q271" s="18"/>
      <c r="R271" s="19" t="str">
        <f>IFERROR(__xludf.DUMMYFUNCTION("""COMPUTED_VALUE"""),"No")</f>
        <v>No</v>
      </c>
      <c r="S271" s="20" t="str">
        <f>IFERROR(__xludf.DUMMYFUNCTION("""COMPUTED_VALUE"""),"https://www.goodreads.com/book/show/122751954-that-kind-of-guy")</f>
        <v>https://www.goodreads.com/book/show/122751954-that-kind-of-guy</v>
      </c>
    </row>
    <row r="272">
      <c r="A272" s="16">
        <f>IFERROR(__xludf.DUMMYFUNCTION("""COMPUTED_VALUE"""),45321.91467619214)</f>
        <v>45321.91468</v>
      </c>
      <c r="B272" s="13" t="str">
        <f>IFERROR(__xludf.DUMMYFUNCTION("""COMPUTED_VALUE"""),"Add new entry")</f>
        <v>Add new entry</v>
      </c>
      <c r="C272" s="17" t="str">
        <f>IFERROR(__xludf.DUMMYFUNCTION("""COMPUTED_VALUE"""),"The Wrong Mr. Right")</f>
        <v>The Wrong Mr. Right</v>
      </c>
      <c r="D272" s="18" t="str">
        <f>IFERROR(__xludf.DUMMYFUNCTION("""COMPUTED_VALUE"""),"Stephanie Archer")</f>
        <v>Stephanie Archer</v>
      </c>
      <c r="E272" s="18" t="str">
        <f>IFERROR(__xludf.DUMMYFUNCTION("""COMPUTED_VALUE"""),"M/F")</f>
        <v>M/F</v>
      </c>
      <c r="F272" s="18"/>
      <c r="G272" s="18" t="str">
        <f>IFERROR(__xludf.DUMMYFUNCTION("""COMPUTED_VALUE"""),"Hannah, the FMC, is about to turn thirty and decides she wants Wyatt, the cinnamon roll MMC, to teach her to be a “hot girl” to find a boyfriend and kickstart her life.")</f>
        <v>Hannah, the FMC, is about to turn thirty and decides she wants Wyatt, the cinnamon roll MMC, to teach her to be a “hot girl” to find a boyfriend and kickstart her life.</v>
      </c>
      <c r="H272" s="18" t="str">
        <f>IFERROR(__xludf.DUMMYFUNCTION("""COMPUTED_VALUE"""),"Dual POV")</f>
        <v>Dual POV</v>
      </c>
      <c r="I272" s="18" t="str">
        <f>IFERROR(__xludf.DUMMYFUNCTION("""COMPUTED_VALUE"""),"Contemporary, Sports Romance")</f>
        <v>Contemporary, Sports Romance</v>
      </c>
      <c r="J272" s="18" t="str">
        <f>IFERROR(__xludf.DUMMYFUNCTION("""COMPUTED_VALUE"""),"Athlete, Friends-to-lovers, Only One Bed, Outdoorsy- forest/hiking/camping etc, Slow Burn, Small Town, Cinnamon Roll MMC")</f>
        <v>Athlete, Friends-to-lovers, Only One Bed, Outdoorsy- forest/hiking/camping etc, Slow Burn, Small Town, Cinnamon Roll MMC</v>
      </c>
      <c r="K272" s="18"/>
      <c r="L272" s="18" t="str">
        <f>IFERROR(__xludf.DUMMYFUNCTION("""COMPUTED_VALUE"""),"Level 4- Heavy sexual content, mature audiences only")</f>
        <v>Level 4- Heavy sexual content, mature audiences only</v>
      </c>
      <c r="M272" s="18" t="str">
        <f>IFERROR(__xludf.DUMMYFUNCTION("""COMPUTED_VALUE"""),"Oral sex - cunnilingus, Oral sex - fellatio, Praise Kink")</f>
        <v>Oral sex - cunnilingus, Oral sex - fellatio, Praise Kink</v>
      </c>
      <c r="N272" s="18" t="str">
        <f>IFERROR(__xludf.DUMMYFUNCTION("""COMPUTED_VALUE"""),"Series- can be read as standalones")</f>
        <v>Series- can be read as standalones</v>
      </c>
      <c r="O272" s="18" t="str">
        <f>IFERROR(__xludf.DUMMYFUNCTION("""COMPUTED_VALUE"""),"Queen's Cove #2")</f>
        <v>Queen's Cove #2</v>
      </c>
      <c r="P272" s="18" t="str">
        <f>IFERROR(__xludf.DUMMYFUNCTION("""COMPUTED_VALUE"""),"Tingle, Laugh")</f>
        <v>Tingle, Laugh</v>
      </c>
      <c r="Q272" s="18" t="str">
        <f>IFERROR(__xludf.DUMMYFUNCTION("""COMPUTED_VALUE"""),"Minor mentions of terminal illness (past, not main characters), death of parent")</f>
        <v>Minor mentions of terminal illness (past, not main characters), death of parent</v>
      </c>
      <c r="R272" s="19" t="str">
        <f>IFERROR(__xludf.DUMMYFUNCTION("""COMPUTED_VALUE"""),"No")</f>
        <v>No</v>
      </c>
      <c r="S272" s="20" t="str">
        <f>IFERROR(__xludf.DUMMYFUNCTION("""COMPUTED_VALUE"""),"https://www.goodreads.com/book/show/122751961-the-wrong-mr-right")</f>
        <v>https://www.goodreads.com/book/show/122751961-the-wrong-mr-right</v>
      </c>
    </row>
    <row r="273">
      <c r="A273" s="16">
        <f>IFERROR(__xludf.DUMMYFUNCTION("""COMPUTED_VALUE"""),45446.868943113426)</f>
        <v>45446.86894</v>
      </c>
      <c r="B273" s="13" t="str">
        <f>IFERROR(__xludf.DUMMYFUNCTION("""COMPUTED_VALUE"""),"Add new entry")</f>
        <v>Add new entry</v>
      </c>
      <c r="C273" s="17" t="str">
        <f>IFERROR(__xludf.DUMMYFUNCTION("""COMPUTED_VALUE"""),"In Your Dreams, Holden Rhodes")</f>
        <v>In Your Dreams, Holden Rhodes</v>
      </c>
      <c r="D273" s="18" t="str">
        <f>IFERROR(__xludf.DUMMYFUNCTION("""COMPUTED_VALUE"""),"Stephanie Archer")</f>
        <v>Stephanie Archer</v>
      </c>
      <c r="E273" s="18" t="str">
        <f>IFERROR(__xludf.DUMMYFUNCTION("""COMPUTED_VALUE"""),"M/F")</f>
        <v>M/F</v>
      </c>
      <c r="F273" s="18"/>
      <c r="G273" s="18" t="str">
        <f>IFERROR(__xludf.DUMMYFUNCTION("""COMPUTED_VALUE"""),"A grumpy-sunshine friends-with-benefits spicy small town romantic comedy with an HEA. This is book 3 in the Queen's Cove series but can be read as a standalone.")</f>
        <v>A grumpy-sunshine friends-with-benefits spicy small town romantic comedy with an HEA. This is book 3 in the Queen's Cove series but can be read as a standalone.</v>
      </c>
      <c r="H273" s="18" t="str">
        <f>IFERROR(__xludf.DUMMYFUNCTION("""COMPUTED_VALUE"""),"Dual POV")</f>
        <v>Dual POV</v>
      </c>
      <c r="I273" s="18" t="str">
        <f>IFERROR(__xludf.DUMMYFUNCTION("""COMPUTED_VALUE"""),"Contemporary")</f>
        <v>Contemporary</v>
      </c>
      <c r="J273" s="18" t="str">
        <f>IFERROR(__xludf.DUMMYFUNCTION("""COMPUTED_VALUE"""),"Forced Proximity, Grumpy/Sunshine, Outdoorsy- forest/hiking/camping etc, Relationship Coach-  (ie; Teach me how to kiss), Second Chance, Slow Burn, Small Town")</f>
        <v>Forced Proximity, Grumpy/Sunshine, Outdoorsy- forest/hiking/camping etc, Relationship Coach-  (ie; Teach me how to kiss), Second Chance, Slow Burn, Small Town</v>
      </c>
      <c r="K273" s="18" t="str">
        <f>IFERROR(__xludf.DUMMYFUNCTION("""COMPUTED_VALUE"""),"North America")</f>
        <v>North America</v>
      </c>
      <c r="L273" s="18" t="str">
        <f>IFERROR(__xludf.DUMMYFUNCTION("""COMPUTED_VALUE"""),"Level 4- Heavy sexual content, mature audiences only")</f>
        <v>Level 4- Heavy sexual content, mature audiences only</v>
      </c>
      <c r="M273" s="18" t="str">
        <f>IFERROR(__xludf.DUMMYFUNCTION("""COMPUTED_VALUE"""),"Oral sex - cunnilingus, Oral sex - fellatio, Vibrator use, Car Sex, Shower Sex")</f>
        <v>Oral sex - cunnilingus, Oral sex - fellatio, Vibrator use, Car Sex, Shower Sex</v>
      </c>
      <c r="N273" s="18" t="str">
        <f>IFERROR(__xludf.DUMMYFUNCTION("""COMPUTED_VALUE"""),"Series- can be read as standalones")</f>
        <v>Series- can be read as standalones</v>
      </c>
      <c r="O273" s="18" t="str">
        <f>IFERROR(__xludf.DUMMYFUNCTION("""COMPUTED_VALUE"""),"Queens' Cove $3")</f>
        <v>Queens' Cove $3</v>
      </c>
      <c r="P273" s="18" t="str">
        <f>IFERROR(__xludf.DUMMYFUNCTION("""COMPUTED_VALUE"""),"Laugh, Smolder")</f>
        <v>Laugh, Smolder</v>
      </c>
      <c r="Q273" s="18"/>
      <c r="R273" s="19" t="str">
        <f>IFERROR(__xludf.DUMMYFUNCTION("""COMPUTED_VALUE"""),"No")</f>
        <v>No</v>
      </c>
      <c r="S273" s="20" t="str">
        <f>IFERROR(__xludf.DUMMYFUNCTION("""COMPUTED_VALUE"""),"https://www.goodreads.com/book/show/122751971-in-your-dreams-holden-rhodes")</f>
        <v>https://www.goodreads.com/book/show/122751971-in-your-dreams-holden-rhodes</v>
      </c>
    </row>
    <row r="274">
      <c r="A274" s="16">
        <f>IFERROR(__xludf.DUMMYFUNCTION("""COMPUTED_VALUE"""),45271.03833628472)</f>
        <v>45271.03834</v>
      </c>
      <c r="B274" s="13" t="str">
        <f>IFERROR(__xludf.DUMMYFUNCTION("""COMPUTED_VALUE"""),"Add new entry")</f>
        <v>Add new entry</v>
      </c>
      <c r="C274" s="17" t="str">
        <f>IFERROR(__xludf.DUMMYFUNCTION("""COMPUTED_VALUE"""),"The Girl with A Secret Crush")</f>
        <v>The Girl with A Secret Crush</v>
      </c>
      <c r="D274" s="18" t="str">
        <f>IFERROR(__xludf.DUMMYFUNCTION("""COMPUTED_VALUE"""),"Sudha Nair")</f>
        <v>Sudha Nair</v>
      </c>
      <c r="E274" s="18" t="str">
        <f>IFERROR(__xludf.DUMMYFUNCTION("""COMPUTED_VALUE"""),"M/F")</f>
        <v>M/F</v>
      </c>
      <c r="F274" s="18" t="str">
        <f>IFERROR(__xludf.DUMMYFUNCTION("""COMPUTED_VALUE"""),"BIPoC (Black, Indigenous, People of Colour)")</f>
        <v>BIPoC (Black, Indigenous, People of Colour)</v>
      </c>
      <c r="G274" s="18" t="str">
        <f>IFERROR(__xludf.DUMMYFUNCTION("""COMPUTED_VALUE"""),"Editor fmc and author mmc, grumpy x sunshine")</f>
        <v>Editor fmc and author mmc, grumpy x sunshine</v>
      </c>
      <c r="H274" s="18"/>
      <c r="I274" s="18" t="str">
        <f>IFERROR(__xludf.DUMMYFUNCTION("""COMPUTED_VALUE"""),"Dark, Romantic Comedy")</f>
        <v>Dark, Romantic Comedy</v>
      </c>
      <c r="J274" s="18" t="str">
        <f>IFERROR(__xludf.DUMMYFUNCTION("""COMPUTED_VALUE"""),"Age Difference, Coworkers or Colleagues, Forced Proximity, Grumpy/Sunshine, Opposites Attract")</f>
        <v>Age Difference, Coworkers or Colleagues, Forced Proximity, Grumpy/Sunshine, Opposites Attract</v>
      </c>
      <c r="K274" s="18" t="str">
        <f>IFERROR(__xludf.DUMMYFUNCTION("""COMPUTED_VALUE"""),"Asia &amp; Pacific Islands")</f>
        <v>Asia &amp; Pacific Islands</v>
      </c>
      <c r="L274" s="18" t="str">
        <f>IFERROR(__xludf.DUMMYFUNCTION("""COMPUTED_VALUE"""),"Level 2- Kisses and foreplay, everything else closed door")</f>
        <v>Level 2- Kisses and foreplay, everything else closed door</v>
      </c>
      <c r="M274" s="18"/>
      <c r="N274" s="18" t="str">
        <f>IFERROR(__xludf.DUMMYFUNCTION("""COMPUTED_VALUE"""),"Standalone (not part of a series)")</f>
        <v>Standalone (not part of a series)</v>
      </c>
      <c r="O274" s="18"/>
      <c r="P274" s="18" t="str">
        <f>IFERROR(__xludf.DUMMYFUNCTION("""COMPUTED_VALUE"""),"Laugh, Feel feels")</f>
        <v>Laugh, Feel feels</v>
      </c>
      <c r="Q274" s="18"/>
      <c r="R274" s="19" t="str">
        <f>IFERROR(__xludf.DUMMYFUNCTION("""COMPUTED_VALUE"""),"No")</f>
        <v>No</v>
      </c>
      <c r="S274" s="20" t="str">
        <f>IFERROR(__xludf.DUMMYFUNCTION("""COMPUTED_VALUE"""),"https://www.goodreads.com/en/book/show/40883639")</f>
        <v>https://www.goodreads.com/en/book/show/40883639</v>
      </c>
    </row>
    <row r="275">
      <c r="A275" s="16">
        <f>IFERROR(__xludf.DUMMYFUNCTION("""COMPUTED_VALUE"""),45474.78171336806)</f>
        <v>45474.78171</v>
      </c>
      <c r="B275" s="13" t="str">
        <f>IFERROR(__xludf.DUMMYFUNCTION("""COMPUTED_VALUE"""),"Add new entry")</f>
        <v>Add new entry</v>
      </c>
      <c r="C275" s="17" t="str">
        <f>IFERROR(__xludf.DUMMYFUNCTION("""COMPUTED_VALUE"""),"Daydreamer")</f>
        <v>Daydreamer</v>
      </c>
      <c r="D275" s="18" t="str">
        <f>IFERROR(__xludf.DUMMYFUNCTION("""COMPUTED_VALUE"""),"Susie Tate")</f>
        <v>Susie Tate</v>
      </c>
      <c r="E275" s="18" t="str">
        <f>IFERROR(__xludf.DUMMYFUNCTION("""COMPUTED_VALUE"""),"M/F")</f>
        <v>M/F</v>
      </c>
      <c r="F275" s="18" t="str">
        <f>IFERROR(__xludf.DUMMYFUNCTION("""COMPUTED_VALUE"""),"Neurodivergent (Autism, ADHD, dyspraxia, dyslexia, etc)")</f>
        <v>Neurodivergent (Autism, ADHD, dyspraxia, dyslexia, etc)</v>
      </c>
      <c r="G275" s="18"/>
      <c r="H275" s="18" t="str">
        <f>IFERROR(__xludf.DUMMYFUNCTION("""COMPUTED_VALUE"""),"Dual POV")</f>
        <v>Dual POV</v>
      </c>
      <c r="I275" s="18" t="str">
        <f>IFERROR(__xludf.DUMMYFUNCTION("""COMPUTED_VALUE"""),"Contemporary")</f>
        <v>Contemporary</v>
      </c>
      <c r="J275" s="18" t="str">
        <f>IFERROR(__xludf.DUMMYFUNCTION("""COMPUTED_VALUE"""),"Billionaires/Millionaires/Gazillionaires etc, Childhood Friends, Geek/Nerd/Misfit/Genius")</f>
        <v>Billionaires/Millionaires/Gazillionaires etc, Childhood Friends, Geek/Nerd/Misfit/Genius</v>
      </c>
      <c r="K275" s="18" t="str">
        <f>IFERROR(__xludf.DUMMYFUNCTION("""COMPUTED_VALUE"""),"Europe")</f>
        <v>Europe</v>
      </c>
      <c r="L275" s="18"/>
      <c r="M275" s="18"/>
      <c r="N275" s="18"/>
      <c r="O275" s="18"/>
      <c r="P275" s="18" t="str">
        <f>IFERROR(__xludf.DUMMYFUNCTION("""COMPUTED_VALUE"""),"Laugh, Feel feels")</f>
        <v>Laugh, Feel feels</v>
      </c>
      <c r="Q275" s="18"/>
      <c r="R275" s="19" t="str">
        <f>IFERROR(__xludf.DUMMYFUNCTION("""COMPUTED_VALUE"""),"No")</f>
        <v>No</v>
      </c>
      <c r="S275" s="20" t="str">
        <f>IFERROR(__xludf.DUMMYFUNCTION("""COMPUTED_VALUE"""),"https://www.goodreads.com/book/show/214249697-daydreamer")</f>
        <v>https://www.goodreads.com/book/show/214249697-daydreamer</v>
      </c>
    </row>
    <row r="276">
      <c r="A276" s="16">
        <f>IFERROR(__xludf.DUMMYFUNCTION("""COMPUTED_VALUE"""),44781.56856439814)</f>
        <v>44781.56856</v>
      </c>
      <c r="B276" s="13" t="str">
        <f>IFERROR(__xludf.DUMMYFUNCTION("""COMPUTED_VALUE"""),"Add new entry")</f>
        <v>Add new entry</v>
      </c>
      <c r="C276" s="17" t="str">
        <f>IFERROR(__xludf.DUMMYFUNCTION("""COMPUTED_VALUE"""),"Bear, Otter, and the Kid")</f>
        <v>Bear, Otter, and the Kid</v>
      </c>
      <c r="D276" s="18" t="str">
        <f>IFERROR(__xludf.DUMMYFUNCTION("""COMPUTED_VALUE"""),"T.J. Klune")</f>
        <v>T.J. Klune</v>
      </c>
      <c r="E276" s="18" t="str">
        <f>IFERROR(__xludf.DUMMYFUNCTION("""COMPUTED_VALUE"""),"M/M")</f>
        <v>M/M</v>
      </c>
      <c r="F276" s="18" t="str">
        <f>IFERROR(__xludf.DUMMYFUNCTION("""COMPUTED_VALUE"""),"LGBTQIA+ &amp; GSM (Gender and Sexual Minorities)")</f>
        <v>LGBTQIA+ &amp; GSM (Gender and Sexual Minorities)</v>
      </c>
      <c r="G276" s="18"/>
      <c r="H276" s="18" t="str">
        <f>IFERROR(__xludf.DUMMYFUNCTION("""COMPUTED_VALUE"""),"Single POV")</f>
        <v>Single POV</v>
      </c>
      <c r="I276" s="18" t="str">
        <f>IFERROR(__xludf.DUMMYFUNCTION("""COMPUTED_VALUE"""),"Contemporary")</f>
        <v>Contemporary</v>
      </c>
      <c r="J276" s="18" t="str">
        <f>IFERROR(__xludf.DUMMYFUNCTION("""COMPUTED_VALUE"""),"Angst, Friends-to-lovers, Off Limits (ie; Brother's Best Friend), Single Parent")</f>
        <v>Angst, Friends-to-lovers, Off Limits (ie; Brother's Best Friend), Single Parent</v>
      </c>
      <c r="K276" s="18"/>
      <c r="L276" s="18" t="str">
        <f>IFERROR(__xludf.DUMMYFUNCTION("""COMPUTED_VALUE"""),"Level 3- Sexual content in a few chapters")</f>
        <v>Level 3- Sexual content in a few chapters</v>
      </c>
      <c r="M276" s="18"/>
      <c r="N276" s="18"/>
      <c r="O276" s="18"/>
      <c r="P276" s="18"/>
      <c r="Q276" s="18" t="str">
        <f>IFERROR(__xludf.DUMMYFUNCTION("""COMPUTED_VALUE"""),"The Seafare Chronicles #1")</f>
        <v>The Seafare Chronicles #1</v>
      </c>
      <c r="R276" s="19" t="str">
        <f>IFERROR(__xludf.DUMMYFUNCTION("""COMPUTED_VALUE"""),"No")</f>
        <v>No</v>
      </c>
      <c r="S276" s="20" t="str">
        <f>IFERROR(__xludf.DUMMYFUNCTION("""COMPUTED_VALUE"""),"https://www.goodreads.com/book/show/12156759-bear-otter-and-the-kid")</f>
        <v>https://www.goodreads.com/book/show/12156759-bear-otter-and-the-kid</v>
      </c>
    </row>
    <row r="277">
      <c r="A277" s="16">
        <f>IFERROR(__xludf.DUMMYFUNCTION("""COMPUTED_VALUE"""),44808.870164432876)</f>
        <v>44808.87016</v>
      </c>
      <c r="B277" s="13" t="str">
        <f>IFERROR(__xludf.DUMMYFUNCTION("""COMPUTED_VALUE"""),"Add new entry")</f>
        <v>Add new entry</v>
      </c>
      <c r="C277" s="17" t="str">
        <f>IFERROR(__xludf.DUMMYFUNCTION("""COMPUTED_VALUE"""),"Gravity")</f>
        <v>Gravity</v>
      </c>
      <c r="D277" s="18" t="str">
        <f>IFERROR(__xludf.DUMMYFUNCTION("""COMPUTED_VALUE"""),"Tal Bauer")</f>
        <v>Tal Bauer</v>
      </c>
      <c r="E277" s="18" t="str">
        <f>IFERROR(__xludf.DUMMYFUNCTION("""COMPUTED_VALUE"""),"M/M")</f>
        <v>M/M</v>
      </c>
      <c r="F277" s="18" t="str">
        <f>IFERROR(__xludf.DUMMYFUNCTION("""COMPUTED_VALUE"""),"LGBTQIA+ &amp; GSM (Gender and Sexual Minorities)")</f>
        <v>LGBTQIA+ &amp; GSM (Gender and Sexual Minorities)</v>
      </c>
      <c r="G277" s="18"/>
      <c r="H277" s="18" t="str">
        <f>IFERROR(__xludf.DUMMYFUNCTION("""COMPUTED_VALUE"""),"Dual POV")</f>
        <v>Dual POV</v>
      </c>
      <c r="I277" s="18" t="str">
        <f>IFERROR(__xludf.DUMMYFUNCTION("""COMPUTED_VALUE"""),"Sports Romance")</f>
        <v>Sports Romance</v>
      </c>
      <c r="J277" s="18" t="str">
        <f>IFERROR(__xludf.DUMMYFUNCTION("""COMPUTED_VALUE"""),"Angst, Athlete, Forbidden or Taboo, Slow Burn")</f>
        <v>Angst, Athlete, Forbidden or Taboo, Slow Burn</v>
      </c>
      <c r="K277" s="18" t="str">
        <f>IFERROR(__xludf.DUMMYFUNCTION("""COMPUTED_VALUE"""),"North America")</f>
        <v>North America</v>
      </c>
      <c r="L277" s="18" t="str">
        <f>IFERROR(__xludf.DUMMYFUNCTION("""COMPUTED_VALUE"""),"Level 3- Sexual content in a few chapters")</f>
        <v>Level 3- Sexual content in a few chapters</v>
      </c>
      <c r="M277" s="18"/>
      <c r="N277" s="18"/>
      <c r="O277" s="18"/>
      <c r="P277" s="18" t="str">
        <f>IFERROR(__xludf.DUMMYFUNCTION("""COMPUTED_VALUE"""),"Swoon, Cry, Feel feels")</f>
        <v>Swoon, Cry, Feel feels</v>
      </c>
      <c r="Q277" s="18"/>
      <c r="R277" s="19" t="str">
        <f>IFERROR(__xludf.DUMMYFUNCTION("""COMPUTED_VALUE"""),"No")</f>
        <v>No</v>
      </c>
      <c r="S277" s="20" t="str">
        <f>IFERROR(__xludf.DUMMYFUNCTION("""COMPUTED_VALUE"""),"https://www.goodreads.com/book/show/61848341-gravity")</f>
        <v>https://www.goodreads.com/book/show/61848341-gravity</v>
      </c>
    </row>
    <row r="278">
      <c r="A278" s="16">
        <f>IFERROR(__xludf.DUMMYFUNCTION("""COMPUTED_VALUE"""),44781.5709855324)</f>
        <v>44781.57099</v>
      </c>
      <c r="B278" s="13" t="str">
        <f>IFERROR(__xludf.DUMMYFUNCTION("""COMPUTED_VALUE"""),"Add new entry")</f>
        <v>Add new entry</v>
      </c>
      <c r="C278" s="17" t="str">
        <f>IFERROR(__xludf.DUMMYFUNCTION("""COMPUTED_VALUE"""),"Treasure of the Abyss")</f>
        <v>Treasure of the Abyss</v>
      </c>
      <c r="D278" s="18" t="str">
        <f>IFERROR(__xludf.DUMMYFUNCTION("""COMPUTED_VALUE"""),"Tiffany Roberts")</f>
        <v>Tiffany Roberts</v>
      </c>
      <c r="E278" s="18" t="str">
        <f>IFERROR(__xludf.DUMMYFUNCTION("""COMPUTED_VALUE"""),"M/F")</f>
        <v>M/F</v>
      </c>
      <c r="F278" s="18"/>
      <c r="G278" s="18"/>
      <c r="H278" s="18" t="str">
        <f>IFERROR(__xludf.DUMMYFUNCTION("""COMPUTED_VALUE"""),"Dual POV")</f>
        <v>Dual POV</v>
      </c>
      <c r="I278" s="18" t="str">
        <f>IFERROR(__xludf.DUMMYFUNCTION("""COMPUTED_VALUE"""),"Science Fiction &amp; Alien")</f>
        <v>Science Fiction &amp; Alien</v>
      </c>
      <c r="J278" s="18" t="str">
        <f>IFERROR(__xludf.DUMMYFUNCTION("""COMPUTED_VALUE"""),"Creatures or Monsters- Dragon/Orc/Fae/etc, Enemies-to-lovers (or dislike-to-love), Forbidden or Taboo, Insta-lust/Insta-love/Insta-coffee")</f>
        <v>Creatures or Monsters- Dragon/Orc/Fae/etc, Enemies-to-lovers (or dislike-to-love), Forbidden or Taboo, Insta-lust/Insta-love/Insta-coffee</v>
      </c>
      <c r="K278" s="18"/>
      <c r="L278" s="18" t="str">
        <f>IFERROR(__xludf.DUMMYFUNCTION("""COMPUTED_VALUE"""),"Level 4- Heavy sexual content, mature audiences only")</f>
        <v>Level 4- Heavy sexual content, mature audiences only</v>
      </c>
      <c r="M278" s="18"/>
      <c r="N278" s="18"/>
      <c r="O278" s="18" t="str">
        <f>IFERROR(__xludf.DUMMYFUNCTION("""COMPUTED_VALUE"""),"The Kraken #1")</f>
        <v>The Kraken #1</v>
      </c>
      <c r="P278" s="18" t="str">
        <f>IFERROR(__xludf.DUMMYFUNCTION("""COMPUTED_VALUE"""),"Swoon, Tingle, Feel feels, Smolder, Transported")</f>
        <v>Swoon, Tingle, Feel feels, Smolder, Transported</v>
      </c>
      <c r="Q278" s="18"/>
      <c r="R278" s="19" t="str">
        <f>IFERROR(__xludf.DUMMYFUNCTION("""COMPUTED_VALUE"""),"No")</f>
        <v>No</v>
      </c>
      <c r="S278" s="20" t="str">
        <f>IFERROR(__xludf.DUMMYFUNCTION("""COMPUTED_VALUE"""),"https://www.goodreads.com/book/show/37685787-treasure-of-the-abyss")</f>
        <v>https://www.goodreads.com/book/show/37685787-treasure-of-the-abyss</v>
      </c>
    </row>
    <row r="279">
      <c r="A279" s="16">
        <f>IFERROR(__xludf.DUMMYFUNCTION("""COMPUTED_VALUE"""),44781.57246476852)</f>
        <v>44781.57246</v>
      </c>
      <c r="B279" s="13" t="str">
        <f>IFERROR(__xludf.DUMMYFUNCTION("""COMPUTED_VALUE"""),"Add new entry")</f>
        <v>Add new entry</v>
      </c>
      <c r="C279" s="17" t="str">
        <f>IFERROR(__xludf.DUMMYFUNCTION("""COMPUTED_VALUE"""),"Bennett Mafia")</f>
        <v>Bennett Mafia</v>
      </c>
      <c r="D279" s="18" t="str">
        <f>IFERROR(__xludf.DUMMYFUNCTION("""COMPUTED_VALUE"""),"Tijan")</f>
        <v>Tijan</v>
      </c>
      <c r="E279" s="18" t="str">
        <f>IFERROR(__xludf.DUMMYFUNCTION("""COMPUTED_VALUE"""),"M/F")</f>
        <v>M/F</v>
      </c>
      <c r="F279" s="18"/>
      <c r="G279" s="18"/>
      <c r="H279" s="18" t="str">
        <f>IFERROR(__xludf.DUMMYFUNCTION("""COMPUTED_VALUE"""),"Single POV, First person")</f>
        <v>Single POV, First person</v>
      </c>
      <c r="I279" s="18" t="str">
        <f>IFERROR(__xludf.DUMMYFUNCTION("""COMPUTED_VALUE"""),"Contemporary, Dark")</f>
        <v>Contemporary, Dark</v>
      </c>
      <c r="J279" s="18" t="str">
        <f>IFERROR(__xludf.DUMMYFUNCTION("""COMPUTED_VALUE"""),"Antihero/Villian/Stockholm Syndrome, Billionaires/Millionaires/Gazillionaires etc, Enemies-to-lovers (or dislike-to-love), Mafia/Gang/Criminal, Slow Burn")</f>
        <v>Antihero/Villian/Stockholm Syndrome, Billionaires/Millionaires/Gazillionaires etc, Enemies-to-lovers (or dislike-to-love), Mafia/Gang/Criminal, Slow Burn</v>
      </c>
      <c r="K279" s="18"/>
      <c r="L279" s="18" t="str">
        <f>IFERROR(__xludf.DUMMYFUNCTION("""COMPUTED_VALUE"""),"Level 4- Heavy sexual content, mature audiences only")</f>
        <v>Level 4- Heavy sexual content, mature audiences only</v>
      </c>
      <c r="M279" s="18"/>
      <c r="N279" s="18"/>
      <c r="O279" s="18" t="str">
        <f>IFERROR(__xludf.DUMMYFUNCTION("""COMPUTED_VALUE"""),"Bennett Mafia #1")</f>
        <v>Bennett Mafia #1</v>
      </c>
      <c r="P279" s="18" t="str">
        <f>IFERROR(__xludf.DUMMYFUNCTION("""COMPUTED_VALUE"""),"Swoon, Laugh, Rage, Feel feels, Smolder")</f>
        <v>Swoon, Laugh, Rage, Feel feels, Smolder</v>
      </c>
      <c r="Q279" s="18"/>
      <c r="R279" s="19" t="str">
        <f>IFERROR(__xludf.DUMMYFUNCTION("""COMPUTED_VALUE"""),"No")</f>
        <v>No</v>
      </c>
      <c r="S279" s="20" t="str">
        <f>IFERROR(__xludf.DUMMYFUNCTION("""COMPUTED_VALUE"""),"https://www.goodreads.com/book/show/44222846-bennett-mafia")</f>
        <v>https://www.goodreads.com/book/show/44222846-bennett-mafia</v>
      </c>
    </row>
    <row r="280">
      <c r="A280" s="16">
        <f>IFERROR(__xludf.DUMMYFUNCTION("""COMPUTED_VALUE"""),44781.57443748843)</f>
        <v>44781.57444</v>
      </c>
      <c r="B280" s="13" t="str">
        <f>IFERROR(__xludf.DUMMYFUNCTION("""COMPUTED_VALUE"""),"Add new entry")</f>
        <v>Add new entry</v>
      </c>
      <c r="C280" s="17" t="str">
        <f>IFERROR(__xludf.DUMMYFUNCTION("""COMPUTED_VALUE"""),"Enemies")</f>
        <v>Enemies</v>
      </c>
      <c r="D280" s="18" t="str">
        <f>IFERROR(__xludf.DUMMYFUNCTION("""COMPUTED_VALUE"""),"Tijan")</f>
        <v>Tijan</v>
      </c>
      <c r="E280" s="18" t="str">
        <f>IFERROR(__xludf.DUMMYFUNCTION("""COMPUTED_VALUE"""),"M/F")</f>
        <v>M/F</v>
      </c>
      <c r="F280" s="18"/>
      <c r="G280" s="18"/>
      <c r="H280" s="18" t="str">
        <f>IFERROR(__xludf.DUMMYFUNCTION("""COMPUTED_VALUE"""),"Single POV, First person")</f>
        <v>Single POV, First person</v>
      </c>
      <c r="I280" s="18" t="str">
        <f>IFERROR(__xludf.DUMMYFUNCTION("""COMPUTED_VALUE"""),"Contemporary, New Adult (NA), Sports Romance")</f>
        <v>Contemporary, New Adult (NA), Sports Romance</v>
      </c>
      <c r="J280" s="18" t="str">
        <f>IFERROR(__xludf.DUMMYFUNCTION("""COMPUTED_VALUE"""),"Celebrities- Rock star/Actor/Model, Enemies-to-lovers (or dislike-to-love), Hurt/Comfort, Slow Burn")</f>
        <v>Celebrities- Rock star/Actor/Model, Enemies-to-lovers (or dislike-to-love), Hurt/Comfort, Slow Burn</v>
      </c>
      <c r="K280" s="18"/>
      <c r="L280" s="18" t="str">
        <f>IFERROR(__xludf.DUMMYFUNCTION("""COMPUTED_VALUE"""),"Level 4- Heavy sexual content, mature audiences only")</f>
        <v>Level 4- Heavy sexual content, mature audiences only</v>
      </c>
      <c r="M280" s="18"/>
      <c r="N280" s="18"/>
      <c r="O280" s="18"/>
      <c r="P280" s="18" t="str">
        <f>IFERROR(__xludf.DUMMYFUNCTION("""COMPUTED_VALUE"""),"Swoon, Tingle, Laugh, Cry, Feel feels, Smolder")</f>
        <v>Swoon, Tingle, Laugh, Cry, Feel feels, Smolder</v>
      </c>
      <c r="Q280" s="18" t="str">
        <f>IFERROR(__xludf.DUMMYFUNCTION("""COMPUTED_VALUE"""),"sexual assault trauma ")</f>
        <v>sexual assault trauma </v>
      </c>
      <c r="R280" s="19" t="str">
        <f>IFERROR(__xludf.DUMMYFUNCTION("""COMPUTED_VALUE"""),"No")</f>
        <v>No</v>
      </c>
      <c r="S280" s="20" t="str">
        <f>IFERROR(__xludf.DUMMYFUNCTION("""COMPUTED_VALUE"""),"https://www.goodreads.com/book/show/49047293-enemies")</f>
        <v>https://www.goodreads.com/book/show/49047293-enemies</v>
      </c>
    </row>
    <row r="281">
      <c r="A281" s="16">
        <f>IFERROR(__xludf.DUMMYFUNCTION("""COMPUTED_VALUE"""),44781.5777440625)</f>
        <v>44781.57774</v>
      </c>
      <c r="B281" s="13" t="str">
        <f>IFERROR(__xludf.DUMMYFUNCTION("""COMPUTED_VALUE"""),"Add new entry")</f>
        <v>Add new entry</v>
      </c>
      <c r="C281" s="17" t="str">
        <f>IFERROR(__xludf.DUMMYFUNCTION("""COMPUTED_VALUE"""),"Teardrop Shot")</f>
        <v>Teardrop Shot</v>
      </c>
      <c r="D281" s="18" t="str">
        <f>IFERROR(__xludf.DUMMYFUNCTION("""COMPUTED_VALUE"""),"Tijan")</f>
        <v>Tijan</v>
      </c>
      <c r="E281" s="18" t="str">
        <f>IFERROR(__xludf.DUMMYFUNCTION("""COMPUTED_VALUE"""),"M/F")</f>
        <v>M/F</v>
      </c>
      <c r="F281" s="18"/>
      <c r="G281" s="18"/>
      <c r="H281" s="18" t="str">
        <f>IFERROR(__xludf.DUMMYFUNCTION("""COMPUTED_VALUE"""),"Single POV, First person")</f>
        <v>Single POV, First person</v>
      </c>
      <c r="I281" s="18" t="str">
        <f>IFERROR(__xludf.DUMMYFUNCTION("""COMPUTED_VALUE"""),"Contemporary, Dark, Sports Romance")</f>
        <v>Contemporary, Dark, Sports Romance</v>
      </c>
      <c r="J281" s="18" t="str">
        <f>IFERROR(__xludf.DUMMYFUNCTION("""COMPUTED_VALUE"""),"Friends-to-lovers, Hurt/Comfort, Slow Burn")</f>
        <v>Friends-to-lovers, Hurt/Comfort, Slow Burn</v>
      </c>
      <c r="K281" s="18"/>
      <c r="L281" s="18" t="str">
        <f>IFERROR(__xludf.DUMMYFUNCTION("""COMPUTED_VALUE"""),"Level 4- Heavy sexual content, mature audiences only")</f>
        <v>Level 4- Heavy sexual content, mature audiences only</v>
      </c>
      <c r="M281" s="18"/>
      <c r="N281" s="18"/>
      <c r="O281" s="18"/>
      <c r="P281" s="18" t="str">
        <f>IFERROR(__xludf.DUMMYFUNCTION("""COMPUTED_VALUE"""),"Swoon, Tingle, Laugh, Cry, Feel feels, Smolder")</f>
        <v>Swoon, Tingle, Laugh, Cry, Feel feels, Smolder</v>
      </c>
      <c r="Q281" s="18"/>
      <c r="R281" s="19" t="str">
        <f>IFERROR(__xludf.DUMMYFUNCTION("""COMPUTED_VALUE"""),"No")</f>
        <v>No</v>
      </c>
      <c r="S281" s="20" t="str">
        <f>IFERROR(__xludf.DUMMYFUNCTION("""COMPUTED_VALUE"""),"https://www.goodreads.com/book/show/45701029-teardrop-shot")</f>
        <v>https://www.goodreads.com/book/show/45701029-teardrop-shot</v>
      </c>
    </row>
    <row r="282">
      <c r="A282" s="16">
        <f>IFERROR(__xludf.DUMMYFUNCTION("""COMPUTED_VALUE"""),44781.5793844213)</f>
        <v>44781.57938</v>
      </c>
      <c r="B282" s="13" t="str">
        <f>IFERROR(__xludf.DUMMYFUNCTION("""COMPUTED_VALUE"""),"Add new entry")</f>
        <v>Add new entry</v>
      </c>
      <c r="C282" s="17" t="str">
        <f>IFERROR(__xludf.DUMMYFUNCTION("""COMPUTED_VALUE"""),"Heart Shaped Hack")</f>
        <v>Heart Shaped Hack</v>
      </c>
      <c r="D282" s="18" t="str">
        <f>IFERROR(__xludf.DUMMYFUNCTION("""COMPUTED_VALUE"""),"Tracey Garvis Gaines")</f>
        <v>Tracey Garvis Gaines</v>
      </c>
      <c r="E282" s="18" t="str">
        <f>IFERROR(__xludf.DUMMYFUNCTION("""COMPUTED_VALUE"""),"M/F")</f>
        <v>M/F</v>
      </c>
      <c r="F282" s="18" t="str">
        <f>IFERROR(__xludf.DUMMYFUNCTION("""COMPUTED_VALUE"""),"Neurodivergent (Autism, ADHD, dyspraxia, dyslexia, etc)")</f>
        <v>Neurodivergent (Autism, ADHD, dyspraxia, dyslexia, etc)</v>
      </c>
      <c r="G282" s="18"/>
      <c r="H282" s="18"/>
      <c r="I282" s="18" t="str">
        <f>IFERROR(__xludf.DUMMYFUNCTION("""COMPUTED_VALUE"""),"Contemporary, Romantic Comedy")</f>
        <v>Contemporary, Romantic Comedy</v>
      </c>
      <c r="J282" s="18" t="str">
        <f>IFERROR(__xludf.DUMMYFUNCTION("""COMPUTED_VALUE"""),"Class Differences, Geek/Nerd/Misfit/Genius, Sweet MC- beta hero/kindhearted heroine/etc")</f>
        <v>Class Differences, Geek/Nerd/Misfit/Genius, Sweet MC- beta hero/kindhearted heroine/etc</v>
      </c>
      <c r="K282" s="18"/>
      <c r="L282" s="18" t="str">
        <f>IFERROR(__xludf.DUMMYFUNCTION("""COMPUTED_VALUE"""),"Level 3- Sexual content in a few chapters")</f>
        <v>Level 3- Sexual content in a few chapters</v>
      </c>
      <c r="M282" s="18"/>
      <c r="N282" s="18"/>
      <c r="O282" s="18"/>
      <c r="P282" s="18" t="str">
        <f>IFERROR(__xludf.DUMMYFUNCTION("""COMPUTED_VALUE"""),"Laugh, Cry, Learn, Inspired")</f>
        <v>Laugh, Cry, Learn, Inspired</v>
      </c>
      <c r="Q282" s="18"/>
      <c r="R282" s="19" t="str">
        <f>IFERROR(__xludf.DUMMYFUNCTION("""COMPUTED_VALUE"""),"No")</f>
        <v>No</v>
      </c>
      <c r="S282" s="20" t="str">
        <f>IFERROR(__xludf.DUMMYFUNCTION("""COMPUTED_VALUE"""),"https://www.goodreads.com/book/show/25630718-heart-shaped-hack")</f>
        <v>https://www.goodreads.com/book/show/25630718-heart-shaped-hack</v>
      </c>
    </row>
    <row r="283">
      <c r="A283" s="16">
        <f>IFERROR(__xludf.DUMMYFUNCTION("""COMPUTED_VALUE"""),44781.581152708335)</f>
        <v>44781.58115</v>
      </c>
      <c r="B283" s="13" t="str">
        <f>IFERROR(__xludf.DUMMYFUNCTION("""COMPUTED_VALUE"""),"Add new entry")</f>
        <v>Add new entry</v>
      </c>
      <c r="C283" s="17" t="str">
        <f>IFERROR(__xludf.DUMMYFUNCTION("""COMPUTED_VALUE"""),"Crazy Little Thing")</f>
        <v>Crazy Little Thing</v>
      </c>
      <c r="D283" s="18" t="str">
        <f>IFERROR(__xludf.DUMMYFUNCTION("""COMPUTED_VALUE"""),"Tracy Brogan")</f>
        <v>Tracy Brogan</v>
      </c>
      <c r="E283" s="18" t="str">
        <f>IFERROR(__xludf.DUMMYFUNCTION("""COMPUTED_VALUE"""),"M/F")</f>
        <v>M/F</v>
      </c>
      <c r="F283" s="18"/>
      <c r="G283" s="18"/>
      <c r="H283" s="18" t="str">
        <f>IFERROR(__xludf.DUMMYFUNCTION("""COMPUTED_VALUE"""),"Single POV, First person")</f>
        <v>Single POV, First person</v>
      </c>
      <c r="I283" s="18" t="str">
        <f>IFERROR(__xludf.DUMMYFUNCTION("""COMPUTED_VALUE"""),"Contemporary, Romantic Comedy")</f>
        <v>Contemporary, Romantic Comedy</v>
      </c>
      <c r="J283" s="18" t="str">
        <f>IFERROR(__xludf.DUMMYFUNCTION("""COMPUTED_VALUE"""),"Neighbors-to-lovers, Romance Adjacent, Slow Burn")</f>
        <v>Neighbors-to-lovers, Romance Adjacent, Slow Burn</v>
      </c>
      <c r="K283" s="18"/>
      <c r="L283" s="18" t="str">
        <f>IFERROR(__xludf.DUMMYFUNCTION("""COMPUTED_VALUE"""),"Level 2- Kisses and foreplay, everything else closed door")</f>
        <v>Level 2- Kisses and foreplay, everything else closed door</v>
      </c>
      <c r="M283" s="18"/>
      <c r="N283" s="18"/>
      <c r="O283" s="18" t="str">
        <f>IFERROR(__xludf.DUMMYFUNCTION("""COMPUTED_VALUE"""),"Bell Harbor #1")</f>
        <v>Bell Harbor #1</v>
      </c>
      <c r="P283" s="18" t="str">
        <f>IFERROR(__xludf.DUMMYFUNCTION("""COMPUTED_VALUE"""),"Laugh")</f>
        <v>Laugh</v>
      </c>
      <c r="Q283" s="18"/>
      <c r="R283" s="19" t="str">
        <f>IFERROR(__xludf.DUMMYFUNCTION("""COMPUTED_VALUE"""),"Yes")</f>
        <v>Yes</v>
      </c>
      <c r="S283" s="20" t="str">
        <f>IFERROR(__xludf.DUMMYFUNCTION("""COMPUTED_VALUE"""),"https://www.goodreads.com/book/show/17204568-crazy-little-thing")</f>
        <v>https://www.goodreads.com/book/show/17204568-crazy-little-thing</v>
      </c>
    </row>
    <row r="284">
      <c r="A284" s="16">
        <f>IFERROR(__xludf.DUMMYFUNCTION("""COMPUTED_VALUE"""),44781.58251733796)</f>
        <v>44781.58252</v>
      </c>
      <c r="B284" s="13" t="str">
        <f>IFERROR(__xludf.DUMMYFUNCTION("""COMPUTED_VALUE"""),"Add new entry")</f>
        <v>Add new entry</v>
      </c>
      <c r="C284" s="17" t="str">
        <f>IFERROR(__xludf.DUMMYFUNCTION("""COMPUTED_VALUE"""),"Highland Surrender")</f>
        <v>Highland Surrender</v>
      </c>
      <c r="D284" s="18" t="str">
        <f>IFERROR(__xludf.DUMMYFUNCTION("""COMPUTED_VALUE"""),"Tracy Brogan")</f>
        <v>Tracy Brogan</v>
      </c>
      <c r="E284" s="18" t="str">
        <f>IFERROR(__xludf.DUMMYFUNCTION("""COMPUTED_VALUE"""),"M/F")</f>
        <v>M/F</v>
      </c>
      <c r="F284" s="18"/>
      <c r="G284" s="18"/>
      <c r="H284" s="18"/>
      <c r="I284" s="18" t="str">
        <f>IFERROR(__xludf.DUMMYFUNCTION("""COMPUTED_VALUE"""),"Historical Romance")</f>
        <v>Historical Romance</v>
      </c>
      <c r="J284" s="18" t="str">
        <f>IFERROR(__xludf.DUMMYFUNCTION("""COMPUTED_VALUE"""),"Enemies-to-lovers (or dislike-to-love), Marriage of Convenience (or arranged marriage)")</f>
        <v>Enemies-to-lovers (or dislike-to-love), Marriage of Convenience (or arranged marriage)</v>
      </c>
      <c r="K284" s="18"/>
      <c r="L284" s="18" t="str">
        <f>IFERROR(__xludf.DUMMYFUNCTION("""COMPUTED_VALUE"""),"Level 3- Sexual content in a few chapters")</f>
        <v>Level 3- Sexual content in a few chapters</v>
      </c>
      <c r="M284" s="18"/>
      <c r="N284" s="18" t="str">
        <f>IFERROR(__xludf.DUMMYFUNCTION("""COMPUTED_VALUE"""),"Standalone (not part of a series)")</f>
        <v>Standalone (not part of a series)</v>
      </c>
      <c r="O284" s="18"/>
      <c r="P284" s="18"/>
      <c r="Q284" s="18" t="str">
        <f>IFERROR(__xludf.DUMMYFUNCTION("""COMPUTED_VALUE"""),"Not super clear consent originally. ")</f>
        <v>Not super clear consent originally. </v>
      </c>
      <c r="R284" s="19" t="str">
        <f>IFERROR(__xludf.DUMMYFUNCTION("""COMPUTED_VALUE"""),"Yes")</f>
        <v>Yes</v>
      </c>
      <c r="S284" s="20" t="str">
        <f>IFERROR(__xludf.DUMMYFUNCTION("""COMPUTED_VALUE"""),"https://www.goodreads.com/book/show/15781910-highland-surrender")</f>
        <v>https://www.goodreads.com/book/show/15781910-highland-surrender</v>
      </c>
    </row>
    <row r="285">
      <c r="A285" s="16">
        <f>IFERROR(__xludf.DUMMYFUNCTION("""COMPUTED_VALUE"""),44781.58380287037)</f>
        <v>44781.5838</v>
      </c>
      <c r="B285" s="13" t="str">
        <f>IFERROR(__xludf.DUMMYFUNCTION("""COMPUTED_VALUE"""),"Add new entry")</f>
        <v>Add new entry</v>
      </c>
      <c r="C285" s="17" t="str">
        <f>IFERROR(__xludf.DUMMYFUNCTION("""COMPUTED_VALUE"""),"The Best Medicine")</f>
        <v>The Best Medicine</v>
      </c>
      <c r="D285" s="18" t="str">
        <f>IFERROR(__xludf.DUMMYFUNCTION("""COMPUTED_VALUE"""),"Tracy Brogan")</f>
        <v>Tracy Brogan</v>
      </c>
      <c r="E285" s="18" t="str">
        <f>IFERROR(__xludf.DUMMYFUNCTION("""COMPUTED_VALUE"""),"M/F")</f>
        <v>M/F</v>
      </c>
      <c r="F285" s="18"/>
      <c r="G285" s="18"/>
      <c r="H285" s="18" t="str">
        <f>IFERROR(__xludf.DUMMYFUNCTION("""COMPUTED_VALUE"""),"Single POV, First person")</f>
        <v>Single POV, First person</v>
      </c>
      <c r="I285" s="18" t="str">
        <f>IFERROR(__xludf.DUMMYFUNCTION("""COMPUTED_VALUE"""),"Contemporary, Romantic Comedy")</f>
        <v>Contemporary, Romantic Comedy</v>
      </c>
      <c r="J285" s="18" t="str">
        <f>IFERROR(__xludf.DUMMYFUNCTION("""COMPUTED_VALUE"""),"Age Difference, Opposites Attract, Romance Adjacent, Slow Burn")</f>
        <v>Age Difference, Opposites Attract, Romance Adjacent, Slow Burn</v>
      </c>
      <c r="K285" s="18"/>
      <c r="L285" s="18" t="str">
        <f>IFERROR(__xludf.DUMMYFUNCTION("""COMPUTED_VALUE"""),"Level 2- Kisses and foreplay, everything else closed door")</f>
        <v>Level 2- Kisses and foreplay, everything else closed door</v>
      </c>
      <c r="M285" s="18"/>
      <c r="N285" s="18"/>
      <c r="O285" s="18" t="str">
        <f>IFERROR(__xludf.DUMMYFUNCTION("""COMPUTED_VALUE"""),"Bell Harbor #2")</f>
        <v>Bell Harbor #2</v>
      </c>
      <c r="P285" s="18"/>
      <c r="Q285" s="18"/>
      <c r="R285" s="19" t="str">
        <f>IFERROR(__xludf.DUMMYFUNCTION("""COMPUTED_VALUE"""),"Yes")</f>
        <v>Yes</v>
      </c>
      <c r="S285" s="20" t="str">
        <f>IFERROR(__xludf.DUMMYFUNCTION("""COMPUTED_VALUE"""),"https://www.goodreads.com/book/show/19822079-the-best-medicine")</f>
        <v>https://www.goodreads.com/book/show/19822079-the-best-medicine</v>
      </c>
    </row>
    <row r="286">
      <c r="A286" s="16">
        <f>IFERROR(__xludf.DUMMYFUNCTION("""COMPUTED_VALUE"""),45277.79797076389)</f>
        <v>45277.79797</v>
      </c>
      <c r="B286" s="13" t="str">
        <f>IFERROR(__xludf.DUMMYFUNCTION("""COMPUTED_VALUE"""),"Add new entry")</f>
        <v>Add new entry</v>
      </c>
      <c r="C286" s="17" t="str">
        <f>IFERROR(__xludf.DUMMYFUNCTION("""COMPUTED_VALUE"""),"A Major Motion Christmas")</f>
        <v>A Major Motion Christmas</v>
      </c>
      <c r="D286" s="18" t="str">
        <f>IFERROR(__xludf.DUMMYFUNCTION("""COMPUTED_VALUE"""),"Trinity Byrne")</f>
        <v>Trinity Byrne</v>
      </c>
      <c r="E286" s="18" t="str">
        <f>IFERROR(__xludf.DUMMYFUNCTION("""COMPUTED_VALUE"""),"M/F")</f>
        <v>M/F</v>
      </c>
      <c r="F286" s="18" t="str">
        <f>IFERROR(__xludf.DUMMYFUNCTION("""COMPUTED_VALUE"""),"Fat/Plus Size/Body Positive")</f>
        <v>Fat/Plus Size/Body Positive</v>
      </c>
      <c r="G286" s="18"/>
      <c r="H286" s="18" t="str">
        <f>IFERROR(__xludf.DUMMYFUNCTION("""COMPUTED_VALUE"""),"Dual POV, First person")</f>
        <v>Dual POV, First person</v>
      </c>
      <c r="I286" s="18" t="str">
        <f>IFERROR(__xludf.DUMMYFUNCTION("""COMPUTED_VALUE"""),"Erotic Romance, Romantic Comedy")</f>
        <v>Erotic Romance, Romantic Comedy</v>
      </c>
      <c r="J286" s="18" t="str">
        <f>IFERROR(__xludf.DUMMYFUNCTION("""COMPUTED_VALUE"""),"Celebrities- Rock star/Actor/Model, Holidays, Novella or Short Story, Small Town")</f>
        <v>Celebrities- Rock star/Actor/Model, Holidays, Novella or Short Story, Small Town</v>
      </c>
      <c r="K286" s="18" t="str">
        <f>IFERROR(__xludf.DUMMYFUNCTION("""COMPUTED_VALUE"""),"South America")</f>
        <v>South America</v>
      </c>
      <c r="L286" s="18" t="str">
        <f>IFERROR(__xludf.DUMMYFUNCTION("""COMPUTED_VALUE"""),"Level 4- Heavy sexual content, mature audiences only")</f>
        <v>Level 4- Heavy sexual content, mature audiences only</v>
      </c>
      <c r="M286" s="18"/>
      <c r="N286" s="18" t="str">
        <f>IFERROR(__xludf.DUMMYFUNCTION("""COMPUTED_VALUE"""),"Standalone (not part of a series)")</f>
        <v>Standalone (not part of a series)</v>
      </c>
      <c r="O286" s="18"/>
      <c r="P286" s="18" t="str">
        <f>IFERROR(__xludf.DUMMYFUNCTION("""COMPUTED_VALUE"""),"Swoon, Feel feels")</f>
        <v>Swoon, Feel feels</v>
      </c>
      <c r="Q286" s="18"/>
      <c r="R286" s="19" t="str">
        <f>IFERROR(__xludf.DUMMYFUNCTION("""COMPUTED_VALUE"""),"No")</f>
        <v>No</v>
      </c>
      <c r="S286" s="20" t="str">
        <f>IFERROR(__xludf.DUMMYFUNCTION("""COMPUTED_VALUE"""),"https://www.goodreads.com/book/show/202342950-a-major-motion-christmas")</f>
        <v>https://www.goodreads.com/book/show/202342950-a-major-motion-christmas</v>
      </c>
    </row>
    <row r="287">
      <c r="A287" s="16">
        <f>IFERROR(__xludf.DUMMYFUNCTION("""COMPUTED_VALUE"""),44781.58541554398)</f>
        <v>44781.58542</v>
      </c>
      <c r="B287" s="13" t="str">
        <f>IFERROR(__xludf.DUMMYFUNCTION("""COMPUTED_VALUE"""),"Add new entry")</f>
        <v>Add new entry</v>
      </c>
      <c r="C287" s="17" t="str">
        <f>IFERROR(__xludf.DUMMYFUNCTION("""COMPUTED_VALUE"""),"Born, Darkly")</f>
        <v>Born, Darkly</v>
      </c>
      <c r="D287" s="18" t="str">
        <f>IFERROR(__xludf.DUMMYFUNCTION("""COMPUTED_VALUE"""),"Trisha Wolfe")</f>
        <v>Trisha Wolfe</v>
      </c>
      <c r="E287" s="18" t="str">
        <f>IFERROR(__xludf.DUMMYFUNCTION("""COMPUTED_VALUE"""),"M/F")</f>
        <v>M/F</v>
      </c>
      <c r="F287" s="18"/>
      <c r="G287" s="18"/>
      <c r="H287" s="18" t="str">
        <f>IFERROR(__xludf.DUMMYFUNCTION("""COMPUTED_VALUE"""),"Dual POV, First person")</f>
        <v>Dual POV, First person</v>
      </c>
      <c r="I287" s="18" t="str">
        <f>IFERROR(__xludf.DUMMYFUNCTION("""COMPUTED_VALUE"""),"Dark, Romantic Suspense")</f>
        <v>Dark, Romantic Suspense</v>
      </c>
      <c r="J287" s="18" t="str">
        <f>IFERROR(__xludf.DUMMYFUNCTION("""COMPUTED_VALUE"""),"Antihero/Villian/Stockholm Syndrome, Angst, Forbidden or Taboo, Mafia/Gang/Criminal")</f>
        <v>Antihero/Villian/Stockholm Syndrome, Angst, Forbidden or Taboo, Mafia/Gang/Criminal</v>
      </c>
      <c r="K287" s="18"/>
      <c r="L287" s="18" t="str">
        <f>IFERROR(__xludf.DUMMYFUNCTION("""COMPUTED_VALUE"""),"Level 3- Sexual content in a few chapters")</f>
        <v>Level 3- Sexual content in a few chapters</v>
      </c>
      <c r="M287" s="18"/>
      <c r="N287" s="18"/>
      <c r="O287" s="18"/>
      <c r="P287" s="18" t="str">
        <f>IFERROR(__xludf.DUMMYFUNCTION("""COMPUTED_VALUE"""),"Tingle, Rage, Learn, Scared, Transported")</f>
        <v>Tingle, Rage, Learn, Scared, Transported</v>
      </c>
      <c r="Q287" s="18" t="str">
        <f>IFERROR(__xludf.DUMMYFUNCTION("""COMPUTED_VALUE"""),"murder (gore), psychopath, ambiguous morals")</f>
        <v>murder (gore), psychopath, ambiguous morals</v>
      </c>
      <c r="R287" s="19" t="str">
        <f>IFERROR(__xludf.DUMMYFUNCTION("""COMPUTED_VALUE"""),"No")</f>
        <v>No</v>
      </c>
      <c r="S287" s="20" t="str">
        <f>IFERROR(__xludf.DUMMYFUNCTION("""COMPUTED_VALUE"""),"https://www.goodreads.com/book/show/32758410-born-darkly")</f>
        <v>https://www.goodreads.com/book/show/32758410-born-darkly</v>
      </c>
    </row>
    <row r="288">
      <c r="A288" s="16">
        <f>IFERROR(__xludf.DUMMYFUNCTION("""COMPUTED_VALUE"""),44781.58763648148)</f>
        <v>44781.58764</v>
      </c>
      <c r="B288" s="13" t="str">
        <f>IFERROR(__xludf.DUMMYFUNCTION("""COMPUTED_VALUE"""),"Add new entry")</f>
        <v>Add new entry</v>
      </c>
      <c r="C288" s="17" t="str">
        <f>IFERROR(__xludf.DUMMYFUNCTION("""COMPUTED_VALUE"""),"Ruth's Bonded")</f>
        <v>Ruth's Bonded</v>
      </c>
      <c r="D288" s="18" t="str">
        <f>IFERROR(__xludf.DUMMYFUNCTION("""COMPUTED_VALUE"""),"V. C. Lancaster")</f>
        <v>V. C. Lancaster</v>
      </c>
      <c r="E288" s="18" t="str">
        <f>IFERROR(__xludf.DUMMYFUNCTION("""COMPUTED_VALUE"""),"M/F")</f>
        <v>M/F</v>
      </c>
      <c r="F288" s="18"/>
      <c r="G288" s="18"/>
      <c r="H288" s="18"/>
      <c r="I288" s="18" t="str">
        <f>IFERROR(__xludf.DUMMYFUNCTION("""COMPUTED_VALUE"""),"Erotic Romance, Multicultural/Interracial, Science Fiction &amp; Alien")</f>
        <v>Erotic Romance, Multicultural/Interracial, Science Fiction &amp; Alien</v>
      </c>
      <c r="J288" s="18" t="str">
        <f>IFERROR(__xludf.DUMMYFUNCTION("""COMPUTED_VALUE"""),"Forced Proximity, Ordinary MC- Average looks or career, Outdoorsy- forest/hiking/camping etc")</f>
        <v>Forced Proximity, Ordinary MC- Average looks or career, Outdoorsy- forest/hiking/camping etc</v>
      </c>
      <c r="K288" s="18"/>
      <c r="L288" s="18" t="str">
        <f>IFERROR(__xludf.DUMMYFUNCTION("""COMPUTED_VALUE"""),"Level 4- Heavy sexual content, mature audiences only")</f>
        <v>Level 4- Heavy sexual content, mature audiences only</v>
      </c>
      <c r="M288" s="18"/>
      <c r="N288" s="18"/>
      <c r="O288" s="18" t="str">
        <f>IFERROR(__xludf.DUMMYFUNCTION("""COMPUTED_VALUE"""),"Ruth &amp; Gron #1")</f>
        <v>Ruth &amp; Gron #1</v>
      </c>
      <c r="P288" s="18" t="str">
        <f>IFERROR(__xludf.DUMMYFUNCTION("""COMPUTED_VALUE"""),"Swoon, Laugh, Feel feels, Dream, Smolder, Learn, Inspired, Transported")</f>
        <v>Swoon, Laugh, Feel feels, Dream, Smolder, Learn, Inspired, Transported</v>
      </c>
      <c r="Q288" s="18"/>
      <c r="R288" s="19" t="str">
        <f>IFERROR(__xludf.DUMMYFUNCTION("""COMPUTED_VALUE"""),"No")</f>
        <v>No</v>
      </c>
      <c r="S288" s="20" t="str">
        <f>IFERROR(__xludf.DUMMYFUNCTION("""COMPUTED_VALUE"""),"https://www.goodreads.com/book/show/25887352-ruth-s-bonded")</f>
        <v>https://www.goodreads.com/book/show/25887352-ruth-s-bonded</v>
      </c>
    </row>
    <row r="289">
      <c r="A289" s="16">
        <f>IFERROR(__xludf.DUMMYFUNCTION("""COMPUTED_VALUE"""),44781.58903916667)</f>
        <v>44781.58904</v>
      </c>
      <c r="B289" s="13" t="str">
        <f>IFERROR(__xludf.DUMMYFUNCTION("""COMPUTED_VALUE"""),"Add new entry")</f>
        <v>Add new entry</v>
      </c>
      <c r="C289" s="17" t="str">
        <f>IFERROR(__xludf.DUMMYFUNCTION("""COMPUTED_VALUE"""),"The E.T. Guy")</f>
        <v>The E.T. Guy</v>
      </c>
      <c r="D289" s="18" t="str">
        <f>IFERROR(__xludf.DUMMYFUNCTION("""COMPUTED_VALUE"""),"V. C. Lancaster")</f>
        <v>V. C. Lancaster</v>
      </c>
      <c r="E289" s="18" t="str">
        <f>IFERROR(__xludf.DUMMYFUNCTION("""COMPUTED_VALUE"""),"M/F")</f>
        <v>M/F</v>
      </c>
      <c r="F289" s="18"/>
      <c r="G289" s="18"/>
      <c r="H289" s="18"/>
      <c r="I289" s="18" t="str">
        <f>IFERROR(__xludf.DUMMYFUNCTION("""COMPUTED_VALUE"""),"Contemporary, Erotic Romance, Science Fiction &amp; Alien")</f>
        <v>Contemporary, Erotic Romance, Science Fiction &amp; Alien</v>
      </c>
      <c r="J289" s="18" t="str">
        <f>IFERROR(__xludf.DUMMYFUNCTION("""COMPUTED_VALUE"""),"Coworkers or Colleagues, Enemies-to-lovers (or dislike-to-love)")</f>
        <v>Coworkers or Colleagues, Enemies-to-lovers (or dislike-to-love)</v>
      </c>
      <c r="K289" s="18"/>
      <c r="L289" s="18" t="str">
        <f>IFERROR(__xludf.DUMMYFUNCTION("""COMPUTED_VALUE"""),"Level 4- Heavy sexual content, mature audiences only")</f>
        <v>Level 4- Heavy sexual content, mature audiences only</v>
      </c>
      <c r="M289" s="18"/>
      <c r="N289" s="18"/>
      <c r="O289" s="18" t="str">
        <f>IFERROR(__xludf.DUMMYFUNCTION("""COMPUTED_VALUE"""),"Office Aliens #1")</f>
        <v>Office Aliens #1</v>
      </c>
      <c r="P289" s="18" t="str">
        <f>IFERROR(__xludf.DUMMYFUNCTION("""COMPUTED_VALUE"""),"Laugh, Feel feels, Dream, Smolder, Inspired")</f>
        <v>Laugh, Feel feels, Dream, Smolder, Inspired</v>
      </c>
      <c r="Q289" s="18"/>
      <c r="R289" s="19" t="str">
        <f>IFERROR(__xludf.DUMMYFUNCTION("""COMPUTED_VALUE"""),"No")</f>
        <v>No</v>
      </c>
      <c r="S289" s="20" t="str">
        <f>IFERROR(__xludf.DUMMYFUNCTION("""COMPUTED_VALUE"""),"https://www.goodreads.com/book/show/33139830-the-e-t-guy")</f>
        <v>https://www.goodreads.com/book/show/33139830-the-e-t-guy</v>
      </c>
    </row>
    <row r="290">
      <c r="A290" s="16">
        <f>IFERROR(__xludf.DUMMYFUNCTION("""COMPUTED_VALUE"""),44977.32988819445)</f>
        <v>44977.32989</v>
      </c>
      <c r="B290" s="13" t="str">
        <f>IFERROR(__xludf.DUMMYFUNCTION("""COMPUTED_VALUE"""),"Add new entry")</f>
        <v>Add new entry</v>
      </c>
      <c r="C290" s="17" t="str">
        <f>IFERROR(__xludf.DUMMYFUNCTION("""COMPUTED_VALUE"""),"Sweet Vengeance")</f>
        <v>Sweet Vengeance</v>
      </c>
      <c r="D290" s="18" t="str">
        <f>IFERROR(__xludf.DUMMYFUNCTION("""COMPUTED_VALUE"""),"Viano Oniomoh")</f>
        <v>Viano Oniomoh</v>
      </c>
      <c r="E290" s="18" t="str">
        <f>IFERROR(__xludf.DUMMYFUNCTION("""COMPUTED_VALUE"""),"M/F")</f>
        <v>M/F</v>
      </c>
      <c r="F290" s="18" t="str">
        <f>IFERROR(__xludf.DUMMYFUNCTION("""COMPUTED_VALUE"""),"BIPoC (Black, Indigenous, People of Colour), Fat/Plus Size/Body Positive")</f>
        <v>BIPoC (Black, Indigenous, People of Colour), Fat/Plus Size/Body Positive</v>
      </c>
      <c r="G290" s="18" t="str">
        <f>IFERROR(__xludf.DUMMYFUNCTION("""COMPUTED_VALUE"""),"Lonely sweet demon is summoned to help the FMC get vengeance on her rapist")</f>
        <v>Lonely sweet demon is summoned to help the FMC get vengeance on her rapist</v>
      </c>
      <c r="H290" s="18" t="str">
        <f>IFERROR(__xludf.DUMMYFUNCTION("""COMPUTED_VALUE"""),"Third person")</f>
        <v>Third person</v>
      </c>
      <c r="I290" s="18" t="str">
        <f>IFERROR(__xludf.DUMMYFUNCTION("""COMPUTED_VALUE"""),"Black Love/Black Romance, Paranormal")</f>
        <v>Black Love/Black Romance, Paranormal</v>
      </c>
      <c r="J290" s="18" t="str">
        <f>IFERROR(__xludf.DUMMYFUNCTION("""COMPUTED_VALUE"""),"Loner/Isolated")</f>
        <v>Loner/Isolated</v>
      </c>
      <c r="K290" s="18" t="str">
        <f>IFERROR(__xludf.DUMMYFUNCTION("""COMPUTED_VALUE"""),"Africa")</f>
        <v>Africa</v>
      </c>
      <c r="L290" s="18" t="str">
        <f>IFERROR(__xludf.DUMMYFUNCTION("""COMPUTED_VALUE"""),"Level 4- Heavy sexual content, mature audiences only")</f>
        <v>Level 4- Heavy sexual content, mature audiences only</v>
      </c>
      <c r="M290" s="18" t="str">
        <f>IFERROR(__xludf.DUMMYFUNCTION("""COMPUTED_VALUE"""),"Pegging")</f>
        <v>Pegging</v>
      </c>
      <c r="N290" s="18" t="str">
        <f>IFERROR(__xludf.DUMMYFUNCTION("""COMPUTED_VALUE"""),"Series- can be read as standalones")</f>
        <v>Series- can be read as standalones</v>
      </c>
      <c r="O290" s="18" t="str">
        <f>IFERROR(__xludf.DUMMYFUNCTION("""COMPUTED_VALUE"""),"Sweet Demons")</f>
        <v>Sweet Demons</v>
      </c>
      <c r="P290" s="18"/>
      <c r="Q290" s="18" t="str">
        <f>IFERROR(__xludf.DUMMYFUNCTION("""COMPUTED_VALUE"""),"Mentions, discussions, references, and descriptions of sexual assault (as a past event); mentions, discussions, and depictions of murder; mentions, discussions, and references to slavery and imprisonment (as a past event); religious imagery; trauma; PTSD;"&amp;" blood drinking; violence; gore; (blink and you’ll miss it) dominance/submission; references to a main character being drugged at a bar (as a past event); loss of parents via a plane crash (as a past event);  mention of a hysterectomy in relation to debil"&amp;"itating fibroids; and explicit sex scenes.")</f>
        <v>Mentions, discussions, references, and descriptions of sexual assault (as a past event); mentions, discussions, and depictions of murder; mentions, discussions, and references to slavery and imprisonment (as a past event); religious imagery; trauma; PTSD; blood drinking; violence; gore; (blink and you’ll miss it) dominance/submission; references to a main character being drugged at a bar (as a past event); loss of parents via a plane crash (as a past event);  mention of a hysterectomy in relation to debilitating fibroids; and explicit sex scenes.</v>
      </c>
      <c r="R290" s="19" t="str">
        <f>IFERROR(__xludf.DUMMYFUNCTION("""COMPUTED_VALUE"""),"No")</f>
        <v>No</v>
      </c>
      <c r="S290" s="20" t="str">
        <f>IFERROR(__xludf.DUMMYFUNCTION("""COMPUTED_VALUE"""),"https://www.goodreads.com/book/show/97459787-sweet-vengeance")</f>
        <v>https://www.goodreads.com/book/show/97459787-sweet-vengeance</v>
      </c>
    </row>
    <row r="291">
      <c r="A291" s="16">
        <f>IFERROR(__xludf.DUMMYFUNCTION("""COMPUTED_VALUE"""),44781.61102966435)</f>
        <v>44781.61103</v>
      </c>
      <c r="B291" s="13" t="str">
        <f>IFERROR(__xludf.DUMMYFUNCTION("""COMPUTED_VALUE"""),"Add new entry")</f>
        <v>Add new entry</v>
      </c>
      <c r="C291" s="17" t="str">
        <f>IFERROR(__xludf.DUMMYFUNCTION("""COMPUTED_VALUE"""),"Choosing Theo")</f>
        <v>Choosing Theo</v>
      </c>
      <c r="D291" s="18" t="str">
        <f>IFERROR(__xludf.DUMMYFUNCTION("""COMPUTED_VALUE"""),"Victoria Aveline")</f>
        <v>Victoria Aveline</v>
      </c>
      <c r="E291" s="18" t="str">
        <f>IFERROR(__xludf.DUMMYFUNCTION("""COMPUTED_VALUE"""),"M/F")</f>
        <v>M/F</v>
      </c>
      <c r="F291" s="18"/>
      <c r="G291" s="18"/>
      <c r="H291" s="18" t="str">
        <f>IFERROR(__xludf.DUMMYFUNCTION("""COMPUTED_VALUE"""),"Third person")</f>
        <v>Third person</v>
      </c>
      <c r="I291" s="18" t="str">
        <f>IFERROR(__xludf.DUMMYFUNCTION("""COMPUTED_VALUE"""),"Science Fiction &amp; Alien")</f>
        <v>Science Fiction &amp; Alien</v>
      </c>
      <c r="J291" s="18" t="str">
        <f>IFERROR(__xludf.DUMMYFUNCTION("""COMPUTED_VALUE"""),"Creatures or Monsters- Dragon/Orc/Fae/etc, Fated Mates, Insta-lust/Insta-love/Insta-coffee, Relationship Coach-  (ie; Teach me how to kiss), Novella or Short Story, Wounded Hero/Heroine &amp; War Heroes/Heroines")</f>
        <v>Creatures or Monsters- Dragon/Orc/Fae/etc, Fated Mates, Insta-lust/Insta-love/Insta-coffee, Relationship Coach-  (ie; Teach me how to kiss), Novella or Short Story, Wounded Hero/Heroine &amp; War Heroes/Heroines</v>
      </c>
      <c r="K291" s="18"/>
      <c r="L291" s="18" t="str">
        <f>IFERROR(__xludf.DUMMYFUNCTION("""COMPUTED_VALUE"""),"Level 4- Heavy sexual content, mature audiences only")</f>
        <v>Level 4- Heavy sexual content, mature audiences only</v>
      </c>
      <c r="M291" s="18"/>
      <c r="N291" s="18"/>
      <c r="O291" s="18" t="str">
        <f>IFERROR(__xludf.DUMMYFUNCTION("""COMPUTED_VALUE"""),"Clecanian #1")</f>
        <v>Clecanian #1</v>
      </c>
      <c r="P291" s="18" t="str">
        <f>IFERROR(__xludf.DUMMYFUNCTION("""COMPUTED_VALUE"""),"Tingle, Feel feels, Transported")</f>
        <v>Tingle, Feel feels, Transported</v>
      </c>
      <c r="Q291" s="18"/>
      <c r="R291" s="19" t="str">
        <f>IFERROR(__xludf.DUMMYFUNCTION("""COMPUTED_VALUE"""),"No")</f>
        <v>No</v>
      </c>
      <c r="S291" s="20" t="str">
        <f>IFERROR(__xludf.DUMMYFUNCTION("""COMPUTED_VALUE"""),"https://www.goodreads.com/book/show/51479476")</f>
        <v>https://www.goodreads.com/book/show/51479476</v>
      </c>
    </row>
    <row r="292">
      <c r="A292" s="16">
        <f>IFERROR(__xludf.DUMMYFUNCTION("""COMPUTED_VALUE"""),45169.102351226844)</f>
        <v>45169.10235</v>
      </c>
      <c r="B292" s="13" t="str">
        <f>IFERROR(__xludf.DUMMYFUNCTION("""COMPUTED_VALUE"""),"Add new entry")</f>
        <v>Add new entry</v>
      </c>
      <c r="C292" s="17" t="str">
        <f>IFERROR(__xludf.DUMMYFUNCTION("""COMPUTED_VALUE"""),"Claimed by the Cthulhu")</f>
        <v>Claimed by the Cthulhu</v>
      </c>
      <c r="D292" s="18" t="str">
        <f>IFERROR(__xludf.DUMMYFUNCTION("""COMPUTED_VALUE"""),"Wendi Gogh")</f>
        <v>Wendi Gogh</v>
      </c>
      <c r="E292" s="18" t="str">
        <f>IFERROR(__xludf.DUMMYFUNCTION("""COMPUTED_VALUE"""),"M/F")</f>
        <v>M/F</v>
      </c>
      <c r="F292" s="18" t="str">
        <f>IFERROR(__xludf.DUMMYFUNCTION("""COMPUTED_VALUE"""),"LGBTQIA+ &amp; GSM (Gender and Sexual Minorities)")</f>
        <v>LGBTQIA+ &amp; GSM (Gender and Sexual Minorities)</v>
      </c>
      <c r="G292" s="18"/>
      <c r="H292" s="18" t="str">
        <f>IFERROR(__xludf.DUMMYFUNCTION("""COMPUTED_VALUE"""),"Dual POV")</f>
        <v>Dual POV</v>
      </c>
      <c r="I292" s="18" t="str">
        <f>IFERROR(__xludf.DUMMYFUNCTION("""COMPUTED_VALUE"""),"Contemporary, Multicultural/Interracial, Paranormal, Romantic Comedy, Science Fiction &amp; Alien")</f>
        <v>Contemporary, Multicultural/Interracial, Paranormal, Romantic Comedy, Science Fiction &amp; Alien</v>
      </c>
      <c r="J292" s="18" t="str">
        <f>IFERROR(__xludf.DUMMYFUNCTION("""COMPUTED_VALUE"""),"Creatures or Monsters- Dragon/Orc/Fae/etc, Fated Mates, Geek/Nerd/Misfit/Genius, Pining/Yearning, Secret Baby")</f>
        <v>Creatures or Monsters- Dragon/Orc/Fae/etc, Fated Mates, Geek/Nerd/Misfit/Genius, Pining/Yearning, Secret Baby</v>
      </c>
      <c r="K292" s="18" t="str">
        <f>IFERROR(__xludf.DUMMYFUNCTION("""COMPUTED_VALUE"""),"North America")</f>
        <v>North America</v>
      </c>
      <c r="L292" s="18" t="str">
        <f>IFERROR(__xludf.DUMMYFUNCTION("""COMPUTED_VALUE"""),"Level 4- Heavy sexual content, mature audiences only")</f>
        <v>Level 4- Heavy sexual content, mature audiences only</v>
      </c>
      <c r="M292" s="18" t="str">
        <f>IFERROR(__xludf.DUMMYFUNCTION("""COMPUTED_VALUE"""),"Anal sex, Oral sex - cunnilingus, PIV sex (penis in vagina), Sex Toy Play")</f>
        <v>Anal sex, Oral sex - cunnilingus, PIV sex (penis in vagina), Sex Toy Play</v>
      </c>
      <c r="N292" s="18" t="str">
        <f>IFERROR(__xludf.DUMMYFUNCTION("""COMPUTED_VALUE"""),"Series- can be read as standalones")</f>
        <v>Series- can be read as standalones</v>
      </c>
      <c r="O292" s="18" t="str">
        <f>IFERROR(__xludf.DUMMYFUNCTION("""COMPUTED_VALUE"""),"audited by the anubis")</f>
        <v>audited by the anubis</v>
      </c>
      <c r="P292" s="18" t="str">
        <f>IFERROR(__xludf.DUMMYFUNCTION("""COMPUTED_VALUE"""),"Swoon, Laugh, Feel feels, Dream, Smolder")</f>
        <v>Swoon, Laugh, Feel feels, Dream, Smolder</v>
      </c>
      <c r="Q292" s="18" t="str">
        <f>IFERROR(__xludf.DUMMYFUNCTION("""COMPUTED_VALUE"""),"Past sexual abuse")</f>
        <v>Past sexual abuse</v>
      </c>
      <c r="R292" s="19" t="str">
        <f>IFERROR(__xludf.DUMMYFUNCTION("""COMPUTED_VALUE"""),"No")</f>
        <v>No</v>
      </c>
      <c r="S292" s="20" t="str">
        <f>IFERROR(__xludf.DUMMYFUNCTION("""COMPUTED_VALUE"""),"https://www.goodreads.com/book/show/124965496-claimed-by-the-cthulhu")</f>
        <v>https://www.goodreads.com/book/show/124965496-claimed-by-the-cthulhu</v>
      </c>
    </row>
    <row r="293">
      <c r="A293" s="16">
        <f>IFERROR(__xludf.DUMMYFUNCTION("""COMPUTED_VALUE"""),44781.61426447917)</f>
        <v>44781.61426</v>
      </c>
      <c r="B293" s="13" t="str">
        <f>IFERROR(__xludf.DUMMYFUNCTION("""COMPUTED_VALUE"""),"Add new entry")</f>
        <v>Add new entry</v>
      </c>
      <c r="C293" s="17" t="str">
        <f>IFERROR(__xludf.DUMMYFUNCTION("""COMPUTED_VALUE"""),"The Best Man")</f>
        <v>The Best Man</v>
      </c>
      <c r="D293" s="18" t="str">
        <f>IFERROR(__xludf.DUMMYFUNCTION("""COMPUTED_VALUE"""),"Winter Renshaw")</f>
        <v>Winter Renshaw</v>
      </c>
      <c r="E293" s="18" t="str">
        <f>IFERROR(__xludf.DUMMYFUNCTION("""COMPUTED_VALUE"""),"M/F")</f>
        <v>M/F</v>
      </c>
      <c r="F293" s="18"/>
      <c r="G293" s="18"/>
      <c r="H293" s="18" t="str">
        <f>IFERROR(__xludf.DUMMYFUNCTION("""COMPUTED_VALUE"""),"Dual POV, First person")</f>
        <v>Dual POV, First person</v>
      </c>
      <c r="I293" s="18" t="str">
        <f>IFERROR(__xludf.DUMMYFUNCTION("""COMPUTED_VALUE"""),"Contemporary")</f>
        <v>Contemporary</v>
      </c>
      <c r="J293" s="18" t="str">
        <f>IFERROR(__xludf.DUMMYFUNCTION("""COMPUTED_VALUE"""),"Billionaires/Millionaires/Gazillionaires etc, Insta-lust/Insta-love/Insta-coffee, Ordinary MC- Average looks or career, Romance Adjacent, Slow Burn, Sweet MC- beta hero/kindhearted heroine/etc")</f>
        <v>Billionaires/Millionaires/Gazillionaires etc, Insta-lust/Insta-love/Insta-coffee, Ordinary MC- Average looks or career, Romance Adjacent, Slow Burn, Sweet MC- beta hero/kindhearted heroine/etc</v>
      </c>
      <c r="K293" s="18"/>
      <c r="L293" s="18" t="str">
        <f>IFERROR(__xludf.DUMMYFUNCTION("""COMPUTED_VALUE"""),"Level 3- Sexual content in a few chapters")</f>
        <v>Level 3- Sexual content in a few chapters</v>
      </c>
      <c r="M293" s="18"/>
      <c r="N293" s="18" t="str">
        <f>IFERROR(__xludf.DUMMYFUNCTION("""COMPUTED_VALUE"""),"Standalone (not part of a series)")</f>
        <v>Standalone (not part of a series)</v>
      </c>
      <c r="O293" s="18"/>
      <c r="P293" s="18" t="str">
        <f>IFERROR(__xludf.DUMMYFUNCTION("""COMPUTED_VALUE"""),"Swoon, Laugh, Cry, Rage, Feel feels, Inspired")</f>
        <v>Swoon, Laugh, Cry, Rage, Feel feels, Inspired</v>
      </c>
      <c r="Q293" s="18"/>
      <c r="R293" s="19" t="str">
        <f>IFERROR(__xludf.DUMMYFUNCTION("""COMPUTED_VALUE"""),"No")</f>
        <v>No</v>
      </c>
      <c r="S293" s="20" t="str">
        <f>IFERROR(__xludf.DUMMYFUNCTION("""COMPUTED_VALUE"""),"https://www.goodreads.com/book/show/52850847-the-best-man")</f>
        <v>https://www.goodreads.com/book/show/52850847-the-best-man</v>
      </c>
    </row>
    <row r="294">
      <c r="A294" s="16">
        <f>IFERROR(__xludf.DUMMYFUNCTION("""COMPUTED_VALUE"""),45200.70363694445)</f>
        <v>45200.70364</v>
      </c>
      <c r="B294" s="13" t="str">
        <f>IFERROR(__xludf.DUMMYFUNCTION("""COMPUTED_VALUE"""),"Add new entry")</f>
        <v>Add new entry</v>
      </c>
      <c r="C294" s="17" t="str">
        <f>IFERROR(__xludf.DUMMYFUNCTION("""COMPUTED_VALUE"""),"Surrendering to Scylla ")</f>
        <v>Surrendering to Scylla </v>
      </c>
      <c r="D294" s="18" t="str">
        <f>IFERROR(__xludf.DUMMYFUNCTION("""COMPUTED_VALUE"""),"Wren K Morris ")</f>
        <v>Wren K Morris </v>
      </c>
      <c r="E294" s="18" t="str">
        <f>IFERROR(__xludf.DUMMYFUNCTION("""COMPUTED_VALUE"""),"M/F")</f>
        <v>M/F</v>
      </c>
      <c r="F294" s="18"/>
      <c r="G294" s="18"/>
      <c r="H294" s="18" t="str">
        <f>IFERROR(__xludf.DUMMYFUNCTION("""COMPUTED_VALUE"""),"Dual POV, First person")</f>
        <v>Dual POV, First person</v>
      </c>
      <c r="I294" s="18" t="str">
        <f>IFERROR(__xludf.DUMMYFUNCTION("""COMPUTED_VALUE"""),"Adventure")</f>
        <v>Adventure</v>
      </c>
      <c r="J294" s="18" t="str">
        <f>IFERROR(__xludf.DUMMYFUNCTION("""COMPUTED_VALUE"""),"Creatures or Monsters- Dragon/Orc/Fae/etc, Forced Proximity, Grumpy/Sunshine, Ancient Greece ")</f>
        <v>Creatures or Monsters- Dragon/Orc/Fae/etc, Forced Proximity, Grumpy/Sunshine, Ancient Greece </v>
      </c>
      <c r="K294" s="18" t="str">
        <f>IFERROR(__xludf.DUMMYFUNCTION("""COMPUTED_VALUE"""),"Europe")</f>
        <v>Europe</v>
      </c>
      <c r="L294" s="18" t="str">
        <f>IFERROR(__xludf.DUMMYFUNCTION("""COMPUTED_VALUE"""),"Level 3- Sexual content in a few chapters")</f>
        <v>Level 3- Sexual content in a few chapters</v>
      </c>
      <c r="M294" s="18" t="str">
        <f>IFERROR(__xludf.DUMMYFUNCTION("""COMPUTED_VALUE"""),"Dom/Sub, Femdom, Oral sex - cunnilingus, Oral sex - fellatio, PIV sex (penis in vagina), Praise Kink, Voyeurism")</f>
        <v>Dom/Sub, Femdom, Oral sex - cunnilingus, Oral sex - fellatio, PIV sex (penis in vagina), Praise Kink, Voyeurism</v>
      </c>
      <c r="N294" s="18"/>
      <c r="O294" s="18"/>
      <c r="P294" s="18"/>
      <c r="Q294" s="18"/>
      <c r="R294" s="19" t="str">
        <f>IFERROR(__xludf.DUMMYFUNCTION("""COMPUTED_VALUE"""),"No")</f>
        <v>No</v>
      </c>
      <c r="S294" s="20" t="str">
        <f>IFERROR(__xludf.DUMMYFUNCTION("""COMPUTED_VALUE"""),"https://www.goodreads.com/book/show/62126935-surrendering-to-scylla")</f>
        <v>https://www.goodreads.com/book/show/62126935-surrendering-to-scylla</v>
      </c>
    </row>
    <row r="295">
      <c r="A295" s="16">
        <f>IFERROR(__xludf.DUMMYFUNCTION("""COMPUTED_VALUE"""),44781.6165855787)</f>
        <v>44781.61659</v>
      </c>
      <c r="B295" s="13" t="str">
        <f>IFERROR(__xludf.DUMMYFUNCTION("""COMPUTED_VALUE"""),"Add new entry")</f>
        <v>Add new entry</v>
      </c>
      <c r="C295" s="17" t="str">
        <f>IFERROR(__xludf.DUMMYFUNCTION("""COMPUTED_VALUE"""),"Homewrecker")</f>
        <v>Homewrecker</v>
      </c>
      <c r="D295" s="18" t="str">
        <f>IFERROR(__xludf.DUMMYFUNCTION("""COMPUTED_VALUE"""),"Zenny Daye")</f>
        <v>Zenny Daye</v>
      </c>
      <c r="E295" s="18" t="str">
        <f>IFERROR(__xludf.DUMMYFUNCTION("""COMPUTED_VALUE"""),"M/F")</f>
        <v>M/F</v>
      </c>
      <c r="F295" s="18" t="str">
        <f>IFERROR(__xludf.DUMMYFUNCTION("""COMPUTED_VALUE"""),"BIPoC (Black, Indigenous, People of Colour), Mental disability or illness")</f>
        <v>BIPoC (Black, Indigenous, People of Colour), Mental disability or illness</v>
      </c>
      <c r="G295" s="18"/>
      <c r="H295" s="18"/>
      <c r="I295" s="18" t="str">
        <f>IFERROR(__xludf.DUMMYFUNCTION("""COMPUTED_VALUE"""),"Contemporary, Dark, Erotic Romance, Military or Security, Multicultural/Interracial, Romantic Comedy, Sports Romance")</f>
        <v>Contemporary, Dark, Erotic Romance, Military or Security, Multicultural/Interracial, Romantic Comedy, Sports Romance</v>
      </c>
      <c r="J295" s="18" t="str">
        <f>IFERROR(__xludf.DUMMYFUNCTION("""COMPUTED_VALUE"""),"Antihero/Villian/Stockholm Syndrome, Athlete, Billionaires/Millionaires/Gazillionaires etc, Celebrities- Rock star/Actor/Model, Class Differences, Forbidden or Taboo, Off Limits (ie; Brother's Best Friend), Opposites Attract, Political, Slow Burn")</f>
        <v>Antihero/Villian/Stockholm Syndrome, Athlete, Billionaires/Millionaires/Gazillionaires etc, Celebrities- Rock star/Actor/Model, Class Differences, Forbidden or Taboo, Off Limits (ie; Brother's Best Friend), Opposites Attract, Political, Slow Burn</v>
      </c>
      <c r="K295" s="18"/>
      <c r="L295" s="18" t="str">
        <f>IFERROR(__xludf.DUMMYFUNCTION("""COMPUTED_VALUE"""),"Level 4- Heavy sexual content, mature audiences only")</f>
        <v>Level 4- Heavy sexual content, mature audiences only</v>
      </c>
      <c r="M295" s="18"/>
      <c r="N295" s="18" t="str">
        <f>IFERROR(__xludf.DUMMYFUNCTION("""COMPUTED_VALUE"""),"Standalone (not part of a series)")</f>
        <v>Standalone (not part of a series)</v>
      </c>
      <c r="O295" s="18"/>
      <c r="P295" s="18" t="str">
        <f>IFERROR(__xludf.DUMMYFUNCTION("""COMPUTED_VALUE"""),"Laugh, Cry, Rage, Feel feels, Inspired")</f>
        <v>Laugh, Cry, Rage, Feel feels, Inspired</v>
      </c>
      <c r="Q295" s="18" t="str">
        <f>IFERROR(__xludf.DUMMYFUNCTION("""COMPUTED_VALUE"""),"assault, grief, death of a loved one")</f>
        <v>assault, grief, death of a loved one</v>
      </c>
      <c r="R295" s="19" t="str">
        <f>IFERROR(__xludf.DUMMYFUNCTION("""COMPUTED_VALUE"""),"No")</f>
        <v>No</v>
      </c>
      <c r="S295" s="20" t="str">
        <f>IFERROR(__xludf.DUMMYFUNCTION("""COMPUTED_VALUE"""),"https://www.goodreads.com/book/show/56932944-homewrecker")</f>
        <v>https://www.goodreads.com/book/show/56932944-homewrecker</v>
      </c>
    </row>
    <row r="296">
      <c r="A296" s="16">
        <f>IFERROR(__xludf.DUMMYFUNCTION("""COMPUTED_VALUE"""),44781.619286817135)</f>
        <v>44781.61929</v>
      </c>
      <c r="B296" s="13" t="str">
        <f>IFERROR(__xludf.DUMMYFUNCTION("""COMPUTED_VALUE"""),"Add new entry")</f>
        <v>Add new entry</v>
      </c>
      <c r="C296" s="17" t="str">
        <f>IFERROR(__xludf.DUMMYFUNCTION("""COMPUTED_VALUE"""),"Just For A While")</f>
        <v>Just For A While</v>
      </c>
      <c r="D296" s="18" t="str">
        <f>IFERROR(__xludf.DUMMYFUNCTION("""COMPUTED_VALUE"""),"Zøe Haslie")</f>
        <v>Zøe Haslie</v>
      </c>
      <c r="E296" s="18" t="str">
        <f>IFERROR(__xludf.DUMMYFUNCTION("""COMPUTED_VALUE"""),"M/F")</f>
        <v>M/F</v>
      </c>
      <c r="F296" s="18"/>
      <c r="G296" s="18"/>
      <c r="H296" s="18" t="str">
        <f>IFERROR(__xludf.DUMMYFUNCTION("""COMPUTED_VALUE"""),"Single POV")</f>
        <v>Single POV</v>
      </c>
      <c r="I296" s="18" t="str">
        <f>IFERROR(__xludf.DUMMYFUNCTION("""COMPUTED_VALUE"""),"Contemporary, New Adult (NA)")</f>
        <v>Contemporary, New Adult (NA)</v>
      </c>
      <c r="J296" s="18" t="str">
        <f>IFERROR(__xludf.DUMMYFUNCTION("""COMPUTED_VALUE"""),"Art Themed- Music/Dance/Sculpture, Enemies-to-lovers (or dislike-to-love), Loner/Isolated, Small Town, Wounded Hero/Heroine &amp; War Heroes/Heroines")</f>
        <v>Art Themed- Music/Dance/Sculpture, Enemies-to-lovers (or dislike-to-love), Loner/Isolated, Small Town, Wounded Hero/Heroine &amp; War Heroes/Heroines</v>
      </c>
      <c r="K296" s="18"/>
      <c r="L296" s="18" t="str">
        <f>IFERROR(__xludf.DUMMYFUNCTION("""COMPUTED_VALUE"""),"Level 2- Kisses and foreplay, everything else closed door")</f>
        <v>Level 2- Kisses and foreplay, everything else closed door</v>
      </c>
      <c r="M296" s="18"/>
      <c r="N296" s="18" t="str">
        <f>IFERROR(__xludf.DUMMYFUNCTION("""COMPUTED_VALUE"""),"Standalone (not part of a series)")</f>
        <v>Standalone (not part of a series)</v>
      </c>
      <c r="O296" s="18"/>
      <c r="P296" s="18" t="str">
        <f>IFERROR(__xludf.DUMMYFUNCTION("""COMPUTED_VALUE"""),"Tingle, Cry, Feel feels, Dream, Inspired")</f>
        <v>Tingle, Cry, Feel feels, Dream, Inspired</v>
      </c>
      <c r="Q296" s="18"/>
      <c r="R296" s="19" t="str">
        <f>IFERROR(__xludf.DUMMYFUNCTION("""COMPUTED_VALUE"""),"No")</f>
        <v>No</v>
      </c>
      <c r="S296" s="20" t="str">
        <f>IFERROR(__xludf.DUMMYFUNCTION("""COMPUTED_VALUE"""),"https://www.goodreads.com/book/show/51035732-just-for-a-while")</f>
        <v>https://www.goodreads.com/book/show/51035732-just-for-a-while</v>
      </c>
    </row>
    <row r="297">
      <c r="A297" s="16">
        <f>IFERROR(__xludf.DUMMYFUNCTION("""COMPUTED_VALUE"""),44781.621016331024)</f>
        <v>44781.62102</v>
      </c>
      <c r="B297" s="13" t="str">
        <f>IFERROR(__xludf.DUMMYFUNCTION("""COMPUTED_VALUE"""),"Add new entry")</f>
        <v>Add new entry</v>
      </c>
      <c r="C297" s="17" t="str">
        <f>IFERROR(__xludf.DUMMYFUNCTION("""COMPUTED_VALUE"""),"Claimed by the Horde King")</f>
        <v>Claimed by the Horde King</v>
      </c>
      <c r="D297" s="18" t="str">
        <f>IFERROR(__xludf.DUMMYFUNCTION("""COMPUTED_VALUE"""),"Zoey Draven")</f>
        <v>Zoey Draven</v>
      </c>
      <c r="E297" s="18" t="str">
        <f>IFERROR(__xludf.DUMMYFUNCTION("""COMPUTED_VALUE"""),"M/F")</f>
        <v>M/F</v>
      </c>
      <c r="F297" s="18"/>
      <c r="G297" s="18"/>
      <c r="H297" s="18" t="str">
        <f>IFERROR(__xludf.DUMMYFUNCTION("""COMPUTED_VALUE"""),"Dual POV, First person")</f>
        <v>Dual POV, First person</v>
      </c>
      <c r="I297" s="18" t="str">
        <f>IFERROR(__xludf.DUMMYFUNCTION("""COMPUTED_VALUE"""),"Paranormal")</f>
        <v>Paranormal</v>
      </c>
      <c r="J297" s="18" t="str">
        <f>IFERROR(__xludf.DUMMYFUNCTION("""COMPUTED_VALUE"""),"Antihero/Villian/Stockholm Syndrome, Enemies-to-lovers (or dislike-to-love)")</f>
        <v>Antihero/Villian/Stockholm Syndrome, Enemies-to-lovers (or dislike-to-love)</v>
      </c>
      <c r="K297" s="18"/>
      <c r="L297" s="18" t="str">
        <f>IFERROR(__xludf.DUMMYFUNCTION("""COMPUTED_VALUE"""),"Level 4- Heavy sexual content, mature audiences only")</f>
        <v>Level 4- Heavy sexual content, mature audiences only</v>
      </c>
      <c r="M297" s="18"/>
      <c r="N297" s="18"/>
      <c r="O297" s="18" t="str">
        <f>IFERROR(__xludf.DUMMYFUNCTION("""COMPUTED_VALUE"""),"Horde Kings of Dakkar #2")</f>
        <v>Horde Kings of Dakkar #2</v>
      </c>
      <c r="P297" s="18" t="str">
        <f>IFERROR(__xludf.DUMMYFUNCTION("""COMPUTED_VALUE"""),"Swoon, Cry, Feel feels")</f>
        <v>Swoon, Cry, Feel feels</v>
      </c>
      <c r="Q297" s="18"/>
      <c r="R297" s="19" t="str">
        <f>IFERROR(__xludf.DUMMYFUNCTION("""COMPUTED_VALUE"""),"No")</f>
        <v>No</v>
      </c>
      <c r="S297" s="20" t="str">
        <f>IFERROR(__xludf.DUMMYFUNCTION("""COMPUTED_VALUE"""),"https://www.goodreads.com/book/show/49610915-claimed-by-the-horde-king")</f>
        <v>https://www.goodreads.com/book/show/49610915-claimed-by-the-horde-king</v>
      </c>
    </row>
    <row r="298">
      <c r="A298" s="16">
        <f>IFERROR(__xludf.DUMMYFUNCTION("""COMPUTED_VALUE"""),44781.62219436343)</f>
        <v>44781.62219</v>
      </c>
      <c r="B298" s="13" t="str">
        <f>IFERROR(__xludf.DUMMYFUNCTION("""COMPUTED_VALUE"""),"Add new entry")</f>
        <v>Add new entry</v>
      </c>
      <c r="C298" s="17" t="str">
        <f>IFERROR(__xludf.DUMMYFUNCTION("""COMPUTED_VALUE"""),"The Alien's Lover")</f>
        <v>The Alien's Lover</v>
      </c>
      <c r="D298" s="18" t="str">
        <f>IFERROR(__xludf.DUMMYFUNCTION("""COMPUTED_VALUE"""),"Zoey Draven")</f>
        <v>Zoey Draven</v>
      </c>
      <c r="E298" s="18" t="str">
        <f>IFERROR(__xludf.DUMMYFUNCTION("""COMPUTED_VALUE"""),"M/F")</f>
        <v>M/F</v>
      </c>
      <c r="F298" s="18"/>
      <c r="G298" s="18"/>
      <c r="H298" s="18" t="str">
        <f>IFERROR(__xludf.DUMMYFUNCTION("""COMPUTED_VALUE"""),"Dual POV, Third person")</f>
        <v>Dual POV, Third person</v>
      </c>
      <c r="I298" s="18" t="str">
        <f>IFERROR(__xludf.DUMMYFUNCTION("""COMPUTED_VALUE"""),"Erotic Romance, Science Fiction &amp; Alien")</f>
        <v>Erotic Romance, Science Fiction &amp; Alien</v>
      </c>
      <c r="J298" s="18" t="str">
        <f>IFERROR(__xludf.DUMMYFUNCTION("""COMPUTED_VALUE"""),"Creatures or Monsters- Dragon/Orc/Fae/etc")</f>
        <v>Creatures or Monsters- Dragon/Orc/Fae/etc</v>
      </c>
      <c r="K298" s="18"/>
      <c r="L298" s="18" t="str">
        <f>IFERROR(__xludf.DUMMYFUNCTION("""COMPUTED_VALUE"""),"Level 5- My Kindle melted, primarily erotica")</f>
        <v>Level 5- My Kindle melted, primarily erotica</v>
      </c>
      <c r="M298" s="18"/>
      <c r="N298" s="18"/>
      <c r="O298" s="18" t="str">
        <f>IFERROR(__xludf.DUMMYFUNCTION("""COMPUTED_VALUE"""),"Warriors of Luxiria #3")</f>
        <v>Warriors of Luxiria #3</v>
      </c>
      <c r="P298" s="18" t="str">
        <f>IFERROR(__xludf.DUMMYFUNCTION("""COMPUTED_VALUE"""),"Swoon, Tingle")</f>
        <v>Swoon, Tingle</v>
      </c>
      <c r="Q298" s="18"/>
      <c r="R298" s="19" t="str">
        <f>IFERROR(__xludf.DUMMYFUNCTION("""COMPUTED_VALUE"""),"No")</f>
        <v>No</v>
      </c>
      <c r="S298" s="20" t="str">
        <f>IFERROR(__xludf.DUMMYFUNCTION("""COMPUTED_VALUE"""),"https://www.goodreads.com/book/show/35449785-the-alien-s-lover")</f>
        <v>https://www.goodreads.com/book/show/35449785-the-alien-s-lover</v>
      </c>
    </row>
    <row r="299">
      <c r="A299" s="16">
        <f>IFERROR(__xludf.DUMMYFUNCTION("""COMPUTED_VALUE"""),45732.77135949074)</f>
        <v>45732.77136</v>
      </c>
      <c r="B299" s="13" t="str">
        <f>IFERROR(__xludf.DUMMYFUNCTION("""COMPUTED_VALUE"""),"Add new entry")</f>
        <v>Add new entry</v>
      </c>
      <c r="C299" s="17" t="str">
        <f>IFERROR(__xludf.DUMMYFUNCTION("""COMPUTED_VALUE"""),"Direbound")</f>
        <v>Direbound</v>
      </c>
      <c r="D299" s="18" t="str">
        <f>IFERROR(__xludf.DUMMYFUNCTION("""COMPUTED_VALUE"""),"Sable Sorenson")</f>
        <v>Sable Sorenson</v>
      </c>
      <c r="E299" s="18" t="str">
        <f>IFERROR(__xludf.DUMMYFUNCTION("""COMPUTED_VALUE"""),"M/F")</f>
        <v>M/F</v>
      </c>
      <c r="F299" s="18"/>
      <c r="G299" s="18"/>
      <c r="H299" s="18" t="str">
        <f>IFERROR(__xludf.DUMMYFUNCTION("""COMPUTED_VALUE"""),"Single POV")</f>
        <v>Single POV</v>
      </c>
      <c r="I299" s="18" t="str">
        <f>IFERROR(__xludf.DUMMYFUNCTION("""COMPUTED_VALUE"""),"Fantasy")</f>
        <v>Fantasy</v>
      </c>
      <c r="J299" s="18" t="str">
        <f>IFERROR(__xludf.DUMMYFUNCTION("""COMPUTED_VALUE"""),"Class Differences, Fated Mates")</f>
        <v>Class Differences, Fated Mates</v>
      </c>
      <c r="K299" s="18"/>
      <c r="L299" s="18" t="str">
        <f>IFERROR(__xludf.DUMMYFUNCTION("""COMPUTED_VALUE"""),"Level 3- Sexual content in a few chapters")</f>
        <v>Level 3- Sexual content in a few chapters</v>
      </c>
      <c r="M299" s="18"/>
      <c r="N299" s="18" t="str">
        <f>IFERROR(__xludf.DUMMYFUNCTION("""COMPUTED_VALUE"""),"Series- must be read in order")</f>
        <v>Series- must be read in order</v>
      </c>
      <c r="O299" s="18"/>
      <c r="P299" s="18"/>
      <c r="Q299" s="18"/>
      <c r="R299" s="19" t="str">
        <f>IFERROR(__xludf.DUMMYFUNCTION("""COMPUTED_VALUE"""),"No")</f>
        <v>No</v>
      </c>
      <c r="S299" s="19"/>
    </row>
    <row r="300">
      <c r="A300" s="16">
        <f>IFERROR(__xludf.DUMMYFUNCTION("""COMPUTED_VALUE"""),45738.083707094906)</f>
        <v>45738.08371</v>
      </c>
      <c r="B300" s="13" t="str">
        <f>IFERROR(__xludf.DUMMYFUNCTION("""COMPUTED_VALUE"""),"Add new entry")</f>
        <v>Add new entry</v>
      </c>
      <c r="C300" s="17" t="str">
        <f>IFERROR(__xludf.DUMMYFUNCTION("""COMPUTED_VALUE"""),"Time to Shine")</f>
        <v>Time to Shine</v>
      </c>
      <c r="D300" s="18" t="str">
        <f>IFERROR(__xludf.DUMMYFUNCTION("""COMPUTED_VALUE"""),"Rachel Reid ")</f>
        <v>Rachel Reid </v>
      </c>
      <c r="E300" s="18" t="str">
        <f>IFERROR(__xludf.DUMMYFUNCTION("""COMPUTED_VALUE"""),"M/M")</f>
        <v>M/M</v>
      </c>
      <c r="F300" s="18" t="str">
        <f>IFERROR(__xludf.DUMMYFUNCTION("""COMPUTED_VALUE"""),"LGBTQIA+ &amp; GSM (Gender and Sexual Minorities), Neurodivergent (Autism, ADHD, dyspraxia, dyslexia, etc)")</f>
        <v>LGBTQIA+ &amp; GSM (Gender and Sexual Minorities), Neurodivergent (Autism, ADHD, dyspraxia, dyslexia, etc)</v>
      </c>
      <c r="G300" s="18" t="str">
        <f>IFERROR(__xludf.DUMMYFUNCTION("""COMPUTED_VALUE"""),"Casey is a sunshine, green flag himbo with ADHD traits and Landon is quiet, shy new guy on the team with some neurodivergent traits. They're both lovely.")</f>
        <v>Casey is a sunshine, green flag himbo with ADHD traits and Landon is quiet, shy new guy on the team with some neurodivergent traits. They're both lovely.</v>
      </c>
      <c r="H300" s="18" t="str">
        <f>IFERROR(__xludf.DUMMYFUNCTION("""COMPUTED_VALUE"""),"Dual POV")</f>
        <v>Dual POV</v>
      </c>
      <c r="I300" s="18" t="str">
        <f>IFERROR(__xludf.DUMMYFUNCTION("""COMPUTED_VALUE"""),"Contemporary, Sports Romance")</f>
        <v>Contemporary, Sports Romance</v>
      </c>
      <c r="J300" s="18" t="str">
        <f>IFERROR(__xludf.DUMMYFUNCTION("""COMPUTED_VALUE"""),"Athlete, Coworkers or Colleagues, Friends-to-lovers, Grumpy/Sunshine, Holidays")</f>
        <v>Athlete, Coworkers or Colleagues, Friends-to-lovers, Grumpy/Sunshine, Holidays</v>
      </c>
      <c r="K300" s="18" t="str">
        <f>IFERROR(__xludf.DUMMYFUNCTION("""COMPUTED_VALUE"""),"North America")</f>
        <v>North America</v>
      </c>
      <c r="L300" s="18" t="str">
        <f>IFERROR(__xludf.DUMMYFUNCTION("""COMPUTED_VALUE"""),"Level 4- Heavy sexual content, mature audiences only")</f>
        <v>Level 4- Heavy sexual content, mature audiences only</v>
      </c>
      <c r="M300" s="18"/>
      <c r="N300" s="18" t="str">
        <f>IFERROR(__xludf.DUMMYFUNCTION("""COMPUTED_VALUE"""),"Standalone (not part of a series)")</f>
        <v>Standalone (not part of a series)</v>
      </c>
      <c r="O300" s="18"/>
      <c r="P300" s="18" t="str">
        <f>IFERROR(__xludf.DUMMYFUNCTION("""COMPUTED_VALUE"""),"Swoon, Laugh, Feel feels")</f>
        <v>Swoon, Laugh, Feel feels</v>
      </c>
      <c r="Q300" s="18" t="str">
        <f>IFERROR(__xludf.DUMMYFUNCTION("""COMPUTED_VALUE"""),"Previous death of a sibling")</f>
        <v>Previous death of a sibling</v>
      </c>
      <c r="R300" s="19" t="str">
        <f>IFERROR(__xludf.DUMMYFUNCTION("""COMPUTED_VALUE"""),"No")</f>
        <v>No</v>
      </c>
      <c r="S300" s="20" t="str">
        <f>IFERROR(__xludf.DUMMYFUNCTION("""COMPUTED_VALUE"""),"https://www.goodreads.com/book/show/78641186-time-to-shine")</f>
        <v>https://www.goodreads.com/book/show/78641186-time-to-shine</v>
      </c>
    </row>
    <row r="301">
      <c r="A301" s="16">
        <f>IFERROR(__xludf.DUMMYFUNCTION("""COMPUTED_VALUE"""),45740.05065337963)</f>
        <v>45740.05065</v>
      </c>
      <c r="B301" s="13" t="str">
        <f>IFERROR(__xludf.DUMMYFUNCTION("""COMPUTED_VALUE"""),"Add new entry")</f>
        <v>Add new entry</v>
      </c>
      <c r="C301" s="17" t="str">
        <f>IFERROR(__xludf.DUMMYFUNCTION("""COMPUTED_VALUE"""),"Like You Hate Me")</f>
        <v>Like You Hate Me</v>
      </c>
      <c r="D301" s="18" t="str">
        <f>IFERROR(__xludf.DUMMYFUNCTION("""COMPUTED_VALUE"""),"Bethany Winters")</f>
        <v>Bethany Winters</v>
      </c>
      <c r="E301" s="18" t="str">
        <f>IFERROR(__xludf.DUMMYFUNCTION("""COMPUTED_VALUE"""),"M/M")</f>
        <v>M/M</v>
      </c>
      <c r="F301" s="18"/>
      <c r="G301" s="18" t="str">
        <f>IFERROR(__xludf.DUMMYFUNCTION("""COMPUTED_VALUE"""),"Xavi was the best friend of Nate's little sister, who has passed away")</f>
        <v>Xavi was the best friend of Nate's little sister, who has passed away</v>
      </c>
      <c r="H301" s="18" t="str">
        <f>IFERROR(__xludf.DUMMYFUNCTION("""COMPUTED_VALUE"""),"Dual POV")</f>
        <v>Dual POV</v>
      </c>
      <c r="I301" s="18" t="str">
        <f>IFERROR(__xludf.DUMMYFUNCTION("""COMPUTED_VALUE"""),"Contemporary")</f>
        <v>Contemporary</v>
      </c>
      <c r="J301" s="18" t="str">
        <f>IFERROR(__xludf.DUMMYFUNCTION("""COMPUTED_VALUE"""),"Angst, Best Friend's Sibling, Enemies-to-lovers (or dislike-to-love), Forced Proximity, Sibling's Best Friend")</f>
        <v>Angst, Best Friend's Sibling, Enemies-to-lovers (or dislike-to-love), Forced Proximity, Sibling's Best Friend</v>
      </c>
      <c r="K301" s="18" t="str">
        <f>IFERROR(__xludf.DUMMYFUNCTION("""COMPUTED_VALUE"""),"North America")</f>
        <v>North America</v>
      </c>
      <c r="L301" s="18" t="str">
        <f>IFERROR(__xludf.DUMMYFUNCTION("""COMPUTED_VALUE"""),"Level 4- Heavy sexual content, mature audiences only")</f>
        <v>Level 4- Heavy sexual content, mature audiences only</v>
      </c>
      <c r="M301" s="18" t="str">
        <f>IFERROR(__xludf.DUMMYFUNCTION("""COMPUTED_VALUE"""),"Dirty Talk, Hate Sex")</f>
        <v>Dirty Talk, Hate Sex</v>
      </c>
      <c r="N301" s="18" t="str">
        <f>IFERROR(__xludf.DUMMYFUNCTION("""COMPUTED_VALUE"""),"Series- can be read as standalones")</f>
        <v>Series- can be read as standalones</v>
      </c>
      <c r="O301" s="18" t="str">
        <f>IFERROR(__xludf.DUMMYFUNCTION("""COMPUTED_VALUE"""),"Hawthorne University #1")</f>
        <v>Hawthorne University #1</v>
      </c>
      <c r="P301" s="18" t="str">
        <f>IFERROR(__xludf.DUMMYFUNCTION("""COMPUTED_VALUE"""),"Feel feels, Smolder")</f>
        <v>Feel feels, Smolder</v>
      </c>
      <c r="Q301" s="18" t="str">
        <f>IFERROR(__xludf.DUMMYFUNCTION("""COMPUTED_VALUE"""),"past drug &amp; alcohol abuse, grief")</f>
        <v>past drug &amp; alcohol abuse, grief</v>
      </c>
      <c r="R301" s="19" t="str">
        <f>IFERROR(__xludf.DUMMYFUNCTION("""COMPUTED_VALUE"""),"No")</f>
        <v>No</v>
      </c>
      <c r="S301" s="20" t="str">
        <f>IFERROR(__xludf.DUMMYFUNCTION("""COMPUTED_VALUE"""),"https://www.goodreads.com/book/show/194856118-like-you-hate-me")</f>
        <v>https://www.goodreads.com/book/show/194856118-like-you-hate-me</v>
      </c>
    </row>
    <row r="302">
      <c r="A302" s="16">
        <f>IFERROR(__xludf.DUMMYFUNCTION("""COMPUTED_VALUE"""),45753.6231021875)</f>
        <v>45753.6231</v>
      </c>
      <c r="B302" s="13" t="str">
        <f>IFERROR(__xludf.DUMMYFUNCTION("""COMPUTED_VALUE"""),"Add new entry")</f>
        <v>Add new entry</v>
      </c>
      <c r="C302" s="17" t="str">
        <f>IFERROR(__xludf.DUMMYFUNCTION("""COMPUTED_VALUE"""),"Wrangled by the Alien Rancher")</f>
        <v>Wrangled by the Alien Rancher</v>
      </c>
      <c r="D302" s="18" t="str">
        <f>IFERROR(__xludf.DUMMYFUNCTION("""COMPUTED_VALUE"""),"Ursa Dax")</f>
        <v>Ursa Dax</v>
      </c>
      <c r="E302" s="18" t="str">
        <f>IFERROR(__xludf.DUMMYFUNCTION("""COMPUTED_VALUE"""),"M/F")</f>
        <v>M/F</v>
      </c>
      <c r="F302" s="18"/>
      <c r="G302" s="18" t="str">
        <f>IFERROR(__xludf.DUMMYFUNCTION("""COMPUTED_VALUE"""),"Cute cinnamon roll aliens who want to please their new human brides")</f>
        <v>Cute cinnamon roll aliens who want to please their new human brides</v>
      </c>
      <c r="H302" s="18" t="str">
        <f>IFERROR(__xludf.DUMMYFUNCTION("""COMPUTED_VALUE"""),"Dual POV, First person")</f>
        <v>Dual POV, First person</v>
      </c>
      <c r="I302" s="18" t="str">
        <f>IFERROR(__xludf.DUMMYFUNCTION("""COMPUTED_VALUE"""),"Science Fiction &amp; Alien, Western &amp; Frontier")</f>
        <v>Science Fiction &amp; Alien, Western &amp; Frontier</v>
      </c>
      <c r="J302" s="18" t="str">
        <f>IFERROR(__xludf.DUMMYFUNCTION("""COMPUTED_VALUE"""),"Marriage of Convenience (or arranged marriage), Outdoorsy- forest/hiking/camping etc, Small Town, Virgin MC, Yee-haw it's a Cowboy")</f>
        <v>Marriage of Convenience (or arranged marriage), Outdoorsy- forest/hiking/camping etc, Small Town, Virgin MC, Yee-haw it's a Cowboy</v>
      </c>
      <c r="K302" s="18" t="str">
        <f>IFERROR(__xludf.DUMMYFUNCTION("""COMPUTED_VALUE"""),"Sci fi")</f>
        <v>Sci fi</v>
      </c>
      <c r="L302" s="18" t="str">
        <f>IFERROR(__xludf.DUMMYFUNCTION("""COMPUTED_VALUE"""),"Level 3- Sexual content in a few chapters")</f>
        <v>Level 3- Sexual content in a few chapters</v>
      </c>
      <c r="M302" s="18" t="str">
        <f>IFERROR(__xludf.DUMMYFUNCTION("""COMPUTED_VALUE"""),"Oral sex - cunnilingus, Oral sex - fellatio, PIV sex (penis in vagina), Creative anatomy ")</f>
        <v>Oral sex - cunnilingus, Oral sex - fellatio, PIV sex (penis in vagina), Creative anatomy </v>
      </c>
      <c r="N302" s="18" t="str">
        <f>IFERROR(__xludf.DUMMYFUNCTION("""COMPUTED_VALUE"""),"Series- can be read as standalones")</f>
        <v>Series- can be read as standalones</v>
      </c>
      <c r="O302" s="18" t="str">
        <f>IFERROR(__xludf.DUMMYFUNCTION("""COMPUTED_VALUE"""),"Cowboy Colony Mail-Order Brides Series #2")</f>
        <v>Cowboy Colony Mail-Order Brides Series #2</v>
      </c>
      <c r="P302" s="18" t="str">
        <f>IFERROR(__xludf.DUMMYFUNCTION("""COMPUTED_VALUE"""),"Swoon, Laugh")</f>
        <v>Swoon, Laugh</v>
      </c>
      <c r="Q302" s="18" t="str">
        <f>IFERROR(__xludf.DUMMYFUNCTION("""COMPUTED_VALUE"""),"MMC was convicted as a child and sent to the penal colony")</f>
        <v>MMC was convicted as a child and sent to the penal colony</v>
      </c>
      <c r="R302" s="19" t="str">
        <f>IFERROR(__xludf.DUMMYFUNCTION("""COMPUTED_VALUE"""),"No")</f>
        <v>No</v>
      </c>
      <c r="S302" s="20" t="str">
        <f>IFERROR(__xludf.DUMMYFUNCTION("""COMPUTED_VALUE"""),"https://www.goodreads.com/book/show/216187029-wrangled-by-the-alien-rancher")</f>
        <v>https://www.goodreads.com/book/show/216187029-wrangled-by-the-alien-rancher</v>
      </c>
    </row>
    <row r="303">
      <c r="A303" s="16">
        <f>IFERROR(__xludf.DUMMYFUNCTION("""COMPUTED_VALUE"""),45753.625386817126)</f>
        <v>45753.62539</v>
      </c>
      <c r="B303" s="13" t="str">
        <f>IFERROR(__xludf.DUMMYFUNCTION("""COMPUTED_VALUE"""),"Add new entry")</f>
        <v>Add new entry</v>
      </c>
      <c r="C303" s="17" t="str">
        <f>IFERROR(__xludf.DUMMYFUNCTION("""COMPUTED_VALUE"""),"Garron Park")</f>
        <v>Garron Park</v>
      </c>
      <c r="D303" s="18" t="str">
        <f>IFERROR(__xludf.DUMMYFUNCTION("""COMPUTED_VALUE"""),"Nordika Night")</f>
        <v>Nordika Night</v>
      </c>
      <c r="E303" s="18" t="str">
        <f>IFERROR(__xludf.DUMMYFUNCTION("""COMPUTED_VALUE"""),"M/M")</f>
        <v>M/M</v>
      </c>
      <c r="F303" s="18" t="str">
        <f>IFERROR(__xludf.DUMMYFUNCTION("""COMPUTED_VALUE"""),"LGBTQIA+ &amp; GSM (Gender and Sexual Minorities)")</f>
        <v>LGBTQIA+ &amp; GSM (Gender and Sexual Minorities)</v>
      </c>
      <c r="G303" s="18" t="str">
        <f>IFERROR(__xludf.DUMMYFUNCTION("""COMPUTED_VALUE"""),"Rough around the edges, violent rivals who want better lives for themselves")</f>
        <v>Rough around the edges, violent rivals who want better lives for themselves</v>
      </c>
      <c r="H303" s="18" t="str">
        <f>IFERROR(__xludf.DUMMYFUNCTION("""COMPUTED_VALUE"""),"Dual POV, First person")</f>
        <v>Dual POV, First person</v>
      </c>
      <c r="I303" s="18" t="str">
        <f>IFERROR(__xludf.DUMMYFUNCTION("""COMPUTED_VALUE"""),"Contemporary")</f>
        <v>Contemporary</v>
      </c>
      <c r="J303" s="18" t="str">
        <f>IFERROR(__xludf.DUMMYFUNCTION("""COMPUTED_VALUE"""),"Blue Collar/Farmer/Rancher etc, Enemies-to-lovers (or dislike-to-love), Forced Proximity, Hurt/Comfort, Off Limits (ie; Brother's Best Friend), Only One Bed")</f>
        <v>Blue Collar/Farmer/Rancher etc, Enemies-to-lovers (or dislike-to-love), Forced Proximity, Hurt/Comfort, Off Limits (ie; Brother's Best Friend), Only One Bed</v>
      </c>
      <c r="K303" s="18" t="str">
        <f>IFERROR(__xludf.DUMMYFUNCTION("""COMPUTED_VALUE"""),"North America")</f>
        <v>North America</v>
      </c>
      <c r="L303" s="18" t="str">
        <f>IFERROR(__xludf.DUMMYFUNCTION("""COMPUTED_VALUE"""),"Level 4- Heavy sexual content, mature audiences only")</f>
        <v>Level 4- Heavy sexual content, mature audiences only</v>
      </c>
      <c r="M303" s="18" t="str">
        <f>IFERROR(__xludf.DUMMYFUNCTION("""COMPUTED_VALUE"""),"Anal sex, Dirty Talk, Oral sex - fellatio")</f>
        <v>Anal sex, Dirty Talk, Oral sex - fellatio</v>
      </c>
      <c r="N303" s="18" t="str">
        <f>IFERROR(__xludf.DUMMYFUNCTION("""COMPUTED_VALUE"""),"Series- must be read in order")</f>
        <v>Series- must be read in order</v>
      </c>
      <c r="O303" s="18" t="str">
        <f>IFERROR(__xludf.DUMMYFUNCTION("""COMPUTED_VALUE"""),"From Nothing #1")</f>
        <v>From Nothing #1</v>
      </c>
      <c r="P303" s="18" t="str">
        <f>IFERROR(__xludf.DUMMYFUNCTION("""COMPUTED_VALUE"""),"Feel feels, Smolder")</f>
        <v>Feel feels, Smolder</v>
      </c>
      <c r="Q303" s="18" t="str">
        <f>IFERROR(__xludf.DUMMYFUNCTION("""COMPUTED_VALUE"""),"Both MMCs have abusive or absent parents")</f>
        <v>Both MMCs have abusive or absent parents</v>
      </c>
      <c r="R303" s="19" t="str">
        <f>IFERROR(__xludf.DUMMYFUNCTION("""COMPUTED_VALUE"""),"No")</f>
        <v>No</v>
      </c>
      <c r="S303" s="20" t="str">
        <f>IFERROR(__xludf.DUMMYFUNCTION("""COMPUTED_VALUE"""),"https://www.goodreads.com/book/show/127924695-garron-park")</f>
        <v>https://www.goodreads.com/book/show/127924695-garron-park</v>
      </c>
    </row>
    <row r="304">
      <c r="A304" s="16">
        <f>IFERROR(__xludf.DUMMYFUNCTION("""COMPUTED_VALUE"""),45753.62811315972)</f>
        <v>45753.62811</v>
      </c>
      <c r="B304" s="13" t="str">
        <f>IFERROR(__xludf.DUMMYFUNCTION("""COMPUTED_VALUE"""),"Add new entry")</f>
        <v>Add new entry</v>
      </c>
      <c r="C304" s="17" t="str">
        <f>IFERROR(__xludf.DUMMYFUNCTION("""COMPUTED_VALUE"""),"Love Language")</f>
        <v>Love Language</v>
      </c>
      <c r="D304" s="18" t="str">
        <f>IFERROR(__xludf.DUMMYFUNCTION("""COMPUTED_VALUE"""),"Reese Morrison")</f>
        <v>Reese Morrison</v>
      </c>
      <c r="E304" s="18" t="str">
        <f>IFERROR(__xludf.DUMMYFUNCTION("""COMPUTED_VALUE"""),"M/M")</f>
        <v>M/M</v>
      </c>
      <c r="F304" s="18" t="str">
        <f>IFERROR(__xludf.DUMMYFUNCTION("""COMPUTED_VALUE"""),"LGBTQIA+ &amp; GSM (Gender and Sexual Minorities), Physical disability or illness, Deaf MMC, trans representation")</f>
        <v>LGBTQIA+ &amp; GSM (Gender and Sexual Minorities), Physical disability or illness, Deaf MMC, trans representation</v>
      </c>
      <c r="G304" s="18" t="str">
        <f>IFERROR(__xludf.DUMMYFUNCTION("""COMPUTED_VALUE"""),"Young Dom meets older, grieving sub. He is very understanding and sweet. ")</f>
        <v>Young Dom meets older, grieving sub. He is very understanding and sweet. </v>
      </c>
      <c r="H304" s="18" t="str">
        <f>IFERROR(__xludf.DUMMYFUNCTION("""COMPUTED_VALUE"""),"Dual POV, First person")</f>
        <v>Dual POV, First person</v>
      </c>
      <c r="I304" s="18" t="str">
        <f>IFERROR(__xludf.DUMMYFUNCTION("""COMPUTED_VALUE"""),"Contemporary")</f>
        <v>Contemporary</v>
      </c>
      <c r="J304" s="18" t="str">
        <f>IFERROR(__xludf.DUMMYFUNCTION("""COMPUTED_VALUE"""),"Age Difference, Angst, BDSM or Kink, Hurt/Comfort")</f>
        <v>Age Difference, Angst, BDSM or Kink, Hurt/Comfort</v>
      </c>
      <c r="K304" s="18" t="str">
        <f>IFERROR(__xludf.DUMMYFUNCTION("""COMPUTED_VALUE"""),"North America")</f>
        <v>North America</v>
      </c>
      <c r="L304" s="18" t="str">
        <f>IFERROR(__xludf.DUMMYFUNCTION("""COMPUTED_VALUE"""),"Level 5- My Kindle melted, primarily erotica")</f>
        <v>Level 5- My Kindle melted, primarily erotica</v>
      </c>
      <c r="M304" s="18" t="str">
        <f>IFERROR(__xludf.DUMMYFUNCTION("""COMPUTED_VALUE"""),"Anal sex, Caregiver/Little (Daddy Kink, Mommy Kink), CNC (Consensual Non Consent), Degradation Kink, Dirty Talk, Dom/Sub, Edging/Orgasm Denial, Impact play (spanking etc), Maledom, Oral sex - fellatio, Praise Kink, Sex Toy Play")</f>
        <v>Anal sex, Caregiver/Little (Daddy Kink, Mommy Kink), CNC (Consensual Non Consent), Degradation Kink, Dirty Talk, Dom/Sub, Edging/Orgasm Denial, Impact play (spanking etc), Maledom, Oral sex - fellatio, Praise Kink, Sex Toy Play</v>
      </c>
      <c r="N304" s="18" t="str">
        <f>IFERROR(__xludf.DUMMYFUNCTION("""COMPUTED_VALUE"""),"Series- must be read in order")</f>
        <v>Series- must be read in order</v>
      </c>
      <c r="O304" s="18" t="str">
        <f>IFERROR(__xludf.DUMMYFUNCTION("""COMPUTED_VALUE"""),"Love Language #1")</f>
        <v>Love Language #1</v>
      </c>
      <c r="P304" s="18" t="str">
        <f>IFERROR(__xludf.DUMMYFUNCTION("""COMPUTED_VALUE"""),"Tingle, Cry, Feel feels")</f>
        <v>Tingle, Cry, Feel feels</v>
      </c>
      <c r="Q304" s="18" t="str">
        <f>IFERROR(__xludf.DUMMYFUNCTION("""COMPUTED_VALUE"""),"Death of a long term partner, death of a beloved parent")</f>
        <v>Death of a long term partner, death of a beloved parent</v>
      </c>
      <c r="R304" s="19" t="str">
        <f>IFERROR(__xludf.DUMMYFUNCTION("""COMPUTED_VALUE"""),"No")</f>
        <v>No</v>
      </c>
      <c r="S304" s="20" t="str">
        <f>IFERROR(__xludf.DUMMYFUNCTION("""COMPUTED_VALUE"""),"https://www.goodreads.com/book/show/51225436-love-language")</f>
        <v>https://www.goodreads.com/book/show/51225436-love-language</v>
      </c>
    </row>
    <row r="305">
      <c r="A305" s="16">
        <f>IFERROR(__xludf.DUMMYFUNCTION("""COMPUTED_VALUE"""),45754.00933502315)</f>
        <v>45754.00934</v>
      </c>
      <c r="B305" s="13" t="str">
        <f>IFERROR(__xludf.DUMMYFUNCTION("""COMPUTED_VALUE"""),"Add new entry")</f>
        <v>Add new entry</v>
      </c>
      <c r="C305" s="17" t="str">
        <f>IFERROR(__xludf.DUMMYFUNCTION("""COMPUTED_VALUE"""),"Burn for Me")</f>
        <v>Burn for Me</v>
      </c>
      <c r="D305" s="18" t="str">
        <f>IFERROR(__xludf.DUMMYFUNCTION("""COMPUTED_VALUE"""),"Effie Campbell")</f>
        <v>Effie Campbell</v>
      </c>
      <c r="E305" s="18" t="str">
        <f>IFERROR(__xludf.DUMMYFUNCTION("""COMPUTED_VALUE"""),"M/F")</f>
        <v>M/F</v>
      </c>
      <c r="F305" s="18" t="str">
        <f>IFERROR(__xludf.DUMMYFUNCTION("""COMPUTED_VALUE"""),"Physical disability or illness, Burn victim")</f>
        <v>Physical disability or illness, Burn victim</v>
      </c>
      <c r="G305" s="18"/>
      <c r="H305" s="18" t="str">
        <f>IFERROR(__xludf.DUMMYFUNCTION("""COMPUTED_VALUE"""),"Dual POV, First person")</f>
        <v>Dual POV, First person</v>
      </c>
      <c r="I305" s="18" t="str">
        <f>IFERROR(__xludf.DUMMYFUNCTION("""COMPUTED_VALUE"""),"Contemporary, Dark")</f>
        <v>Contemporary, Dark</v>
      </c>
      <c r="J305" s="18" t="str">
        <f>IFERROR(__xludf.DUMMYFUNCTION("""COMPUTED_VALUE"""),"Angst, Enemies-to-lovers (or dislike-to-love), Forced Proximity, Hitman/Mercenary/Contract Killer, Mafia/Gang/Criminal")</f>
        <v>Angst, Enemies-to-lovers (or dislike-to-love), Forced Proximity, Hitman/Mercenary/Contract Killer, Mafia/Gang/Criminal</v>
      </c>
      <c r="K305" s="18"/>
      <c r="L305" s="18" t="str">
        <f>IFERROR(__xludf.DUMMYFUNCTION("""COMPUTED_VALUE"""),"Level 4- Heavy sexual content, mature audiences only")</f>
        <v>Level 4- Heavy sexual content, mature audiences only</v>
      </c>
      <c r="M305" s="18"/>
      <c r="N305" s="18"/>
      <c r="O305" s="18"/>
      <c r="P305" s="18" t="str">
        <f>IFERROR(__xludf.DUMMYFUNCTION("""COMPUTED_VALUE"""),"Tingle, Laugh, Rage, Feel feels")</f>
        <v>Tingle, Laugh, Rage, Feel feels</v>
      </c>
      <c r="Q305" s="18" t="str">
        <f>IFERROR(__xludf.DUMMYFUNCTION("""COMPUTED_VALUE"""),"Body betrayal")</f>
        <v>Body betrayal</v>
      </c>
      <c r="R305" s="19" t="str">
        <f>IFERROR(__xludf.DUMMYFUNCTION("""COMPUTED_VALUE"""),"No")</f>
        <v>No</v>
      </c>
      <c r="S305" s="19"/>
    </row>
    <row r="306">
      <c r="A306" s="13"/>
      <c r="B306" s="13"/>
      <c r="C306" s="17"/>
      <c r="D306" s="18"/>
      <c r="E306" s="18"/>
      <c r="F306" s="18"/>
      <c r="G306" s="18"/>
      <c r="H306" s="18"/>
      <c r="I306" s="18"/>
      <c r="J306" s="18"/>
      <c r="K306" s="18"/>
      <c r="L306" s="18"/>
      <c r="M306" s="18"/>
      <c r="N306" s="18"/>
      <c r="O306" s="18"/>
      <c r="P306" s="18"/>
      <c r="Q306" s="18"/>
      <c r="R306" s="19"/>
      <c r="S306" s="19"/>
    </row>
    <row r="307">
      <c r="A307" s="13"/>
      <c r="B307" s="13"/>
      <c r="C307" s="17"/>
      <c r="D307" s="18"/>
      <c r="E307" s="18"/>
      <c r="F307" s="18"/>
      <c r="G307" s="18"/>
      <c r="H307" s="18"/>
      <c r="I307" s="18"/>
      <c r="J307" s="18"/>
      <c r="K307" s="18"/>
      <c r="L307" s="18"/>
      <c r="M307" s="18"/>
      <c r="N307" s="18"/>
      <c r="O307" s="18"/>
      <c r="P307" s="18"/>
      <c r="Q307" s="18"/>
      <c r="R307" s="19"/>
      <c r="S307" s="19"/>
    </row>
    <row r="308">
      <c r="A308" s="13"/>
      <c r="B308" s="13"/>
      <c r="C308" s="17"/>
      <c r="D308" s="18"/>
      <c r="E308" s="18"/>
      <c r="F308" s="18"/>
      <c r="G308" s="18"/>
      <c r="H308" s="18"/>
      <c r="I308" s="18"/>
      <c r="J308" s="18"/>
      <c r="K308" s="18"/>
      <c r="L308" s="18"/>
      <c r="M308" s="18"/>
      <c r="N308" s="18"/>
      <c r="O308" s="18"/>
      <c r="P308" s="18"/>
      <c r="Q308" s="18"/>
      <c r="R308" s="19"/>
      <c r="S308" s="19"/>
    </row>
    <row r="309">
      <c r="A309" s="13"/>
      <c r="B309" s="13"/>
      <c r="C309" s="17"/>
      <c r="D309" s="18"/>
      <c r="E309" s="18"/>
      <c r="F309" s="18"/>
      <c r="G309" s="18"/>
      <c r="H309" s="18"/>
      <c r="I309" s="18"/>
      <c r="J309" s="18"/>
      <c r="K309" s="18"/>
      <c r="L309" s="18"/>
      <c r="M309" s="18"/>
      <c r="N309" s="18"/>
      <c r="O309" s="18"/>
      <c r="P309" s="18"/>
      <c r="Q309" s="18"/>
      <c r="R309" s="19"/>
      <c r="S309" s="19"/>
    </row>
    <row r="310">
      <c r="A310" s="13"/>
      <c r="B310" s="13"/>
      <c r="C310" s="17"/>
      <c r="D310" s="18"/>
      <c r="E310" s="18"/>
      <c r="F310" s="18"/>
      <c r="G310" s="18"/>
      <c r="H310" s="18"/>
      <c r="I310" s="18"/>
      <c r="J310" s="18"/>
      <c r="K310" s="18"/>
      <c r="L310" s="18"/>
      <c r="M310" s="18"/>
      <c r="N310" s="18"/>
      <c r="O310" s="18"/>
      <c r="P310" s="18"/>
      <c r="Q310" s="18"/>
      <c r="R310" s="19"/>
      <c r="S310" s="19"/>
    </row>
    <row r="311">
      <c r="A311" s="13"/>
      <c r="B311" s="13"/>
      <c r="C311" s="17"/>
      <c r="D311" s="18"/>
      <c r="E311" s="18"/>
      <c r="F311" s="18"/>
      <c r="G311" s="18"/>
      <c r="H311" s="18"/>
      <c r="I311" s="18"/>
      <c r="J311" s="18"/>
      <c r="K311" s="18"/>
      <c r="L311" s="18"/>
      <c r="M311" s="18"/>
      <c r="N311" s="18"/>
      <c r="O311" s="18"/>
      <c r="P311" s="18"/>
      <c r="Q311" s="18"/>
      <c r="R311" s="19"/>
      <c r="S311" s="19"/>
    </row>
    <row r="312">
      <c r="A312" s="13"/>
      <c r="B312" s="13"/>
      <c r="C312" s="17"/>
      <c r="D312" s="18"/>
      <c r="E312" s="18"/>
      <c r="F312" s="18"/>
      <c r="G312" s="18"/>
      <c r="H312" s="18"/>
      <c r="I312" s="18"/>
      <c r="J312" s="18"/>
      <c r="K312" s="18"/>
      <c r="L312" s="18"/>
      <c r="M312" s="18"/>
      <c r="N312" s="18"/>
      <c r="O312" s="18"/>
      <c r="P312" s="18"/>
      <c r="Q312" s="18"/>
      <c r="R312" s="19"/>
      <c r="S312" s="19"/>
    </row>
    <row r="313">
      <c r="A313" s="13"/>
      <c r="B313" s="13"/>
      <c r="C313" s="17"/>
      <c r="D313" s="18"/>
      <c r="E313" s="18"/>
      <c r="F313" s="18"/>
      <c r="G313" s="18"/>
      <c r="H313" s="18"/>
      <c r="I313" s="18"/>
      <c r="J313" s="18"/>
      <c r="K313" s="18"/>
      <c r="L313" s="18"/>
      <c r="M313" s="18"/>
      <c r="N313" s="18"/>
      <c r="O313" s="18"/>
      <c r="P313" s="18"/>
      <c r="Q313" s="18"/>
      <c r="R313" s="19"/>
      <c r="S313" s="19"/>
    </row>
    <row r="314">
      <c r="A314" s="13"/>
      <c r="B314" s="13"/>
      <c r="C314" s="17"/>
      <c r="D314" s="18"/>
      <c r="E314" s="18"/>
      <c r="F314" s="18"/>
      <c r="G314" s="18"/>
      <c r="H314" s="18"/>
      <c r="I314" s="18"/>
      <c r="J314" s="18"/>
      <c r="K314" s="18"/>
      <c r="L314" s="18"/>
      <c r="M314" s="18"/>
      <c r="N314" s="18"/>
      <c r="O314" s="18"/>
      <c r="P314" s="18"/>
      <c r="Q314" s="18"/>
      <c r="R314" s="19"/>
      <c r="S314" s="19"/>
    </row>
    <row r="315">
      <c r="A315" s="13"/>
      <c r="B315" s="13"/>
      <c r="C315" s="17"/>
      <c r="D315" s="18"/>
      <c r="E315" s="18"/>
      <c r="F315" s="18"/>
      <c r="G315" s="18"/>
      <c r="H315" s="18"/>
      <c r="I315" s="18"/>
      <c r="J315" s="18"/>
      <c r="K315" s="18"/>
      <c r="L315" s="18"/>
      <c r="M315" s="18"/>
      <c r="N315" s="18"/>
      <c r="O315" s="18"/>
      <c r="P315" s="18"/>
      <c r="Q315" s="18"/>
      <c r="R315" s="19"/>
      <c r="S315" s="19"/>
    </row>
    <row r="316">
      <c r="A316" s="13"/>
      <c r="B316" s="13"/>
      <c r="C316" s="17"/>
      <c r="D316" s="18"/>
      <c r="E316" s="18"/>
      <c r="F316" s="18"/>
      <c r="G316" s="18"/>
      <c r="H316" s="18"/>
      <c r="I316" s="18"/>
      <c r="J316" s="18"/>
      <c r="K316" s="18"/>
      <c r="L316" s="18"/>
      <c r="M316" s="18"/>
      <c r="N316" s="18"/>
      <c r="O316" s="18"/>
      <c r="P316" s="18"/>
      <c r="Q316" s="18"/>
      <c r="R316" s="19"/>
      <c r="S316" s="19"/>
    </row>
    <row r="317">
      <c r="A317" s="13"/>
      <c r="B317" s="13"/>
      <c r="C317" s="17"/>
      <c r="D317" s="18"/>
      <c r="E317" s="18"/>
      <c r="F317" s="18"/>
      <c r="G317" s="18"/>
      <c r="H317" s="18"/>
      <c r="I317" s="18"/>
      <c r="J317" s="18"/>
      <c r="K317" s="18"/>
      <c r="L317" s="18"/>
      <c r="M317" s="18"/>
      <c r="N317" s="18"/>
      <c r="O317" s="18"/>
      <c r="P317" s="18"/>
      <c r="Q317" s="18"/>
      <c r="R317" s="19"/>
      <c r="S317" s="19"/>
    </row>
    <row r="318">
      <c r="A318" s="13"/>
      <c r="B318" s="13"/>
      <c r="C318" s="17"/>
      <c r="D318" s="18"/>
      <c r="E318" s="18"/>
      <c r="F318" s="18"/>
      <c r="G318" s="18"/>
      <c r="H318" s="18"/>
      <c r="I318" s="18"/>
      <c r="J318" s="18"/>
      <c r="K318" s="18"/>
      <c r="L318" s="18"/>
      <c r="M318" s="18"/>
      <c r="N318" s="18"/>
      <c r="O318" s="18"/>
      <c r="P318" s="18"/>
      <c r="Q318" s="18"/>
      <c r="R318" s="19"/>
      <c r="S318" s="19"/>
    </row>
    <row r="319">
      <c r="A319" s="13"/>
      <c r="B319" s="13"/>
      <c r="C319" s="17"/>
      <c r="D319" s="18"/>
      <c r="E319" s="18"/>
      <c r="F319" s="18"/>
      <c r="G319" s="18"/>
      <c r="H319" s="18"/>
      <c r="I319" s="18"/>
      <c r="J319" s="18"/>
      <c r="K319" s="18"/>
      <c r="L319" s="18"/>
      <c r="M319" s="18"/>
      <c r="N319" s="18"/>
      <c r="O319" s="18"/>
      <c r="P319" s="18"/>
      <c r="Q319" s="18"/>
      <c r="R319" s="19"/>
      <c r="S319" s="19"/>
    </row>
    <row r="320">
      <c r="A320" s="13"/>
      <c r="B320" s="13"/>
      <c r="C320" s="17"/>
      <c r="D320" s="18"/>
      <c r="E320" s="18"/>
      <c r="F320" s="18"/>
      <c r="G320" s="18"/>
      <c r="H320" s="18"/>
      <c r="I320" s="18"/>
      <c r="J320" s="18"/>
      <c r="K320" s="18"/>
      <c r="L320" s="18"/>
      <c r="M320" s="18"/>
      <c r="N320" s="18"/>
      <c r="O320" s="18"/>
      <c r="P320" s="18"/>
      <c r="Q320" s="18"/>
      <c r="R320" s="19"/>
      <c r="S320" s="19"/>
    </row>
    <row r="321">
      <c r="A321" s="13"/>
      <c r="B321" s="13"/>
      <c r="C321" s="17"/>
      <c r="D321" s="18"/>
      <c r="E321" s="18"/>
      <c r="F321" s="18"/>
      <c r="G321" s="18"/>
      <c r="H321" s="18"/>
      <c r="I321" s="18"/>
      <c r="J321" s="18"/>
      <c r="K321" s="18"/>
      <c r="L321" s="18"/>
      <c r="M321" s="18"/>
      <c r="N321" s="18"/>
      <c r="O321" s="18"/>
      <c r="P321" s="18"/>
      <c r="Q321" s="18"/>
      <c r="R321" s="19"/>
      <c r="S321" s="19"/>
    </row>
    <row r="322">
      <c r="A322" s="13"/>
      <c r="B322" s="13"/>
      <c r="C322" s="17"/>
      <c r="D322" s="18"/>
      <c r="E322" s="18"/>
      <c r="F322" s="18"/>
      <c r="G322" s="18"/>
      <c r="H322" s="18"/>
      <c r="I322" s="18"/>
      <c r="J322" s="18"/>
      <c r="K322" s="18"/>
      <c r="L322" s="18"/>
      <c r="M322" s="18"/>
      <c r="N322" s="18"/>
      <c r="O322" s="18"/>
      <c r="P322" s="18"/>
      <c r="Q322" s="18"/>
      <c r="R322" s="19"/>
      <c r="S322" s="19"/>
    </row>
    <row r="323">
      <c r="A323" s="13"/>
      <c r="B323" s="13"/>
      <c r="C323" s="17"/>
      <c r="D323" s="18"/>
      <c r="E323" s="18"/>
      <c r="F323" s="18"/>
      <c r="G323" s="18"/>
      <c r="H323" s="18"/>
      <c r="I323" s="18"/>
      <c r="J323" s="18"/>
      <c r="K323" s="18"/>
      <c r="L323" s="18"/>
      <c r="M323" s="18"/>
      <c r="N323" s="18"/>
      <c r="O323" s="18"/>
      <c r="P323" s="18"/>
      <c r="Q323" s="18"/>
      <c r="R323" s="19"/>
      <c r="S323" s="19"/>
    </row>
    <row r="324">
      <c r="A324" s="13"/>
      <c r="B324" s="13"/>
      <c r="C324" s="17"/>
      <c r="D324" s="18"/>
      <c r="E324" s="18"/>
      <c r="F324" s="18"/>
      <c r="G324" s="18"/>
      <c r="H324" s="18"/>
      <c r="I324" s="18"/>
      <c r="J324" s="18"/>
      <c r="K324" s="18"/>
      <c r="L324" s="18"/>
      <c r="M324" s="18"/>
      <c r="N324" s="18"/>
      <c r="O324" s="18"/>
      <c r="P324" s="18"/>
      <c r="Q324" s="18"/>
      <c r="R324" s="19"/>
      <c r="S324" s="19"/>
    </row>
    <row r="325">
      <c r="A325" s="13"/>
      <c r="B325" s="13"/>
      <c r="C325" s="17"/>
      <c r="D325" s="18"/>
      <c r="E325" s="18"/>
      <c r="F325" s="18"/>
      <c r="G325" s="18"/>
      <c r="H325" s="18"/>
      <c r="I325" s="18"/>
      <c r="J325" s="18"/>
      <c r="K325" s="18"/>
      <c r="L325" s="18"/>
      <c r="M325" s="18"/>
      <c r="N325" s="18"/>
      <c r="O325" s="18"/>
      <c r="P325" s="18"/>
      <c r="Q325" s="18"/>
      <c r="R325" s="19"/>
      <c r="S325" s="19"/>
    </row>
    <row r="326">
      <c r="A326" s="13"/>
      <c r="B326" s="13"/>
      <c r="C326" s="17"/>
      <c r="D326" s="18"/>
      <c r="E326" s="18"/>
      <c r="F326" s="18"/>
      <c r="G326" s="18"/>
      <c r="H326" s="18"/>
      <c r="I326" s="18"/>
      <c r="J326" s="18"/>
      <c r="K326" s="18"/>
      <c r="L326" s="18"/>
      <c r="M326" s="18"/>
      <c r="N326" s="18"/>
      <c r="O326" s="18"/>
      <c r="P326" s="18"/>
      <c r="Q326" s="18"/>
      <c r="R326" s="19"/>
      <c r="S326" s="19"/>
    </row>
    <row r="327">
      <c r="A327" s="13"/>
      <c r="B327" s="13"/>
      <c r="C327" s="17"/>
      <c r="D327" s="18"/>
      <c r="E327" s="18"/>
      <c r="F327" s="18"/>
      <c r="G327" s="18"/>
      <c r="H327" s="18"/>
      <c r="I327" s="18"/>
      <c r="J327" s="18"/>
      <c r="K327" s="18"/>
      <c r="L327" s="18"/>
      <c r="M327" s="18"/>
      <c r="N327" s="18"/>
      <c r="O327" s="18"/>
      <c r="P327" s="18"/>
      <c r="Q327" s="18"/>
      <c r="R327" s="19"/>
      <c r="S327" s="19"/>
    </row>
    <row r="328">
      <c r="A328" s="13"/>
      <c r="B328" s="13"/>
      <c r="C328" s="17"/>
      <c r="D328" s="18"/>
      <c r="E328" s="18"/>
      <c r="F328" s="18"/>
      <c r="G328" s="18"/>
      <c r="H328" s="18"/>
      <c r="I328" s="18"/>
      <c r="J328" s="18"/>
      <c r="K328" s="18"/>
      <c r="L328" s="18"/>
      <c r="M328" s="18"/>
      <c r="N328" s="18"/>
      <c r="O328" s="18"/>
      <c r="P328" s="18"/>
      <c r="Q328" s="18"/>
      <c r="R328" s="19"/>
      <c r="S328" s="19"/>
    </row>
    <row r="329">
      <c r="A329" s="13"/>
      <c r="B329" s="13"/>
      <c r="C329" s="17"/>
      <c r="D329" s="18"/>
      <c r="E329" s="18"/>
      <c r="F329" s="18"/>
      <c r="G329" s="18"/>
      <c r="H329" s="18"/>
      <c r="I329" s="18"/>
      <c r="J329" s="18"/>
      <c r="K329" s="18"/>
      <c r="L329" s="18"/>
      <c r="M329" s="18"/>
      <c r="N329" s="18"/>
      <c r="O329" s="18"/>
      <c r="P329" s="18"/>
      <c r="Q329" s="18"/>
      <c r="R329" s="19"/>
      <c r="S329" s="19"/>
    </row>
    <row r="330">
      <c r="A330" s="13"/>
      <c r="B330" s="13"/>
      <c r="C330" s="17"/>
      <c r="D330" s="18"/>
      <c r="E330" s="18"/>
      <c r="F330" s="18"/>
      <c r="G330" s="18"/>
      <c r="H330" s="18"/>
      <c r="I330" s="18"/>
      <c r="J330" s="18"/>
      <c r="K330" s="18"/>
      <c r="L330" s="18"/>
      <c r="M330" s="18"/>
      <c r="N330" s="18"/>
      <c r="O330" s="18"/>
      <c r="P330" s="18"/>
      <c r="Q330" s="18"/>
      <c r="R330" s="19"/>
      <c r="S330" s="19"/>
    </row>
    <row r="331">
      <c r="A331" s="13"/>
      <c r="B331" s="13"/>
      <c r="C331" s="17"/>
      <c r="D331" s="18"/>
      <c r="E331" s="18"/>
      <c r="F331" s="18"/>
      <c r="G331" s="18"/>
      <c r="H331" s="18"/>
      <c r="I331" s="18"/>
      <c r="J331" s="18"/>
      <c r="K331" s="18"/>
      <c r="L331" s="18"/>
      <c r="M331" s="18"/>
      <c r="N331" s="18"/>
      <c r="O331" s="18"/>
      <c r="P331" s="18"/>
      <c r="Q331" s="18"/>
      <c r="R331" s="19"/>
      <c r="S331" s="19"/>
    </row>
    <row r="332">
      <c r="A332" s="13"/>
      <c r="B332" s="13"/>
      <c r="C332" s="17"/>
      <c r="D332" s="18"/>
      <c r="E332" s="18"/>
      <c r="F332" s="18"/>
      <c r="G332" s="18"/>
      <c r="H332" s="18"/>
      <c r="I332" s="18"/>
      <c r="J332" s="18"/>
      <c r="K332" s="18"/>
      <c r="L332" s="18"/>
      <c r="M332" s="18"/>
      <c r="N332" s="18"/>
      <c r="O332" s="18"/>
      <c r="P332" s="18"/>
      <c r="Q332" s="18"/>
      <c r="R332" s="19"/>
      <c r="S332" s="19"/>
    </row>
    <row r="333">
      <c r="A333" s="13"/>
      <c r="B333" s="13"/>
      <c r="C333" s="17"/>
      <c r="D333" s="18"/>
      <c r="E333" s="18"/>
      <c r="F333" s="18"/>
      <c r="G333" s="18"/>
      <c r="H333" s="18"/>
      <c r="I333" s="18"/>
      <c r="J333" s="18"/>
      <c r="K333" s="18"/>
      <c r="L333" s="18"/>
      <c r="M333" s="18"/>
      <c r="N333" s="18"/>
      <c r="O333" s="18"/>
      <c r="P333" s="18"/>
      <c r="Q333" s="18"/>
      <c r="R333" s="19"/>
      <c r="S333" s="19"/>
    </row>
    <row r="334">
      <c r="A334" s="13"/>
      <c r="B334" s="13"/>
      <c r="C334" s="17"/>
      <c r="D334" s="18"/>
      <c r="E334" s="18"/>
      <c r="F334" s="18"/>
      <c r="G334" s="18"/>
      <c r="H334" s="18"/>
      <c r="I334" s="18"/>
      <c r="J334" s="18"/>
      <c r="K334" s="18"/>
      <c r="L334" s="18"/>
      <c r="M334" s="18"/>
      <c r="N334" s="18"/>
      <c r="O334" s="18"/>
      <c r="P334" s="18"/>
      <c r="Q334" s="18"/>
      <c r="R334" s="19"/>
      <c r="S334" s="19"/>
    </row>
    <row r="335">
      <c r="A335" s="13"/>
      <c r="B335" s="13"/>
      <c r="C335" s="17"/>
      <c r="D335" s="18"/>
      <c r="E335" s="18"/>
      <c r="F335" s="18"/>
      <c r="G335" s="18"/>
      <c r="H335" s="18"/>
      <c r="I335" s="18"/>
      <c r="J335" s="18"/>
      <c r="K335" s="18"/>
      <c r="L335" s="18"/>
      <c r="M335" s="18"/>
      <c r="N335" s="18"/>
      <c r="O335" s="18"/>
      <c r="P335" s="18"/>
      <c r="Q335" s="18"/>
      <c r="R335" s="19"/>
      <c r="S335" s="19"/>
    </row>
    <row r="336">
      <c r="A336" s="13"/>
      <c r="B336" s="13"/>
      <c r="C336" s="17"/>
      <c r="D336" s="18"/>
      <c r="E336" s="18"/>
      <c r="F336" s="18"/>
      <c r="G336" s="18"/>
      <c r="H336" s="18"/>
      <c r="I336" s="18"/>
      <c r="J336" s="18"/>
      <c r="K336" s="18"/>
      <c r="L336" s="18"/>
      <c r="M336" s="18"/>
      <c r="N336" s="18"/>
      <c r="O336" s="18"/>
      <c r="P336" s="18"/>
      <c r="Q336" s="18"/>
      <c r="R336" s="19"/>
      <c r="S336" s="19"/>
    </row>
    <row r="337">
      <c r="A337" s="13"/>
      <c r="B337" s="13"/>
      <c r="C337" s="17"/>
      <c r="D337" s="18"/>
      <c r="E337" s="18"/>
      <c r="F337" s="18"/>
      <c r="G337" s="18"/>
      <c r="H337" s="18"/>
      <c r="I337" s="18"/>
      <c r="J337" s="18"/>
      <c r="K337" s="18"/>
      <c r="L337" s="18"/>
      <c r="M337" s="18"/>
      <c r="N337" s="18"/>
      <c r="O337" s="18"/>
      <c r="P337" s="18"/>
      <c r="Q337" s="18"/>
      <c r="R337" s="19"/>
      <c r="S337" s="19"/>
    </row>
    <row r="338">
      <c r="A338" s="13"/>
      <c r="B338" s="13"/>
      <c r="C338" s="17"/>
      <c r="D338" s="18"/>
      <c r="E338" s="18"/>
      <c r="F338" s="18"/>
      <c r="G338" s="18"/>
      <c r="H338" s="18"/>
      <c r="I338" s="18"/>
      <c r="J338" s="18"/>
      <c r="K338" s="18"/>
      <c r="L338" s="18"/>
      <c r="M338" s="18"/>
      <c r="N338" s="18"/>
      <c r="O338" s="18"/>
      <c r="P338" s="18"/>
      <c r="Q338" s="18"/>
      <c r="R338" s="19"/>
      <c r="S338" s="19"/>
    </row>
    <row r="339">
      <c r="A339" s="13"/>
      <c r="B339" s="13"/>
      <c r="C339" s="17"/>
      <c r="D339" s="18"/>
      <c r="E339" s="18"/>
      <c r="F339" s="18"/>
      <c r="G339" s="18"/>
      <c r="H339" s="18"/>
      <c r="I339" s="18"/>
      <c r="J339" s="18"/>
      <c r="K339" s="18"/>
      <c r="L339" s="18"/>
      <c r="M339" s="18"/>
      <c r="N339" s="18"/>
      <c r="O339" s="18"/>
      <c r="P339" s="18"/>
      <c r="Q339" s="18"/>
      <c r="R339" s="19"/>
      <c r="S339" s="19"/>
    </row>
    <row r="340">
      <c r="A340" s="13"/>
      <c r="B340" s="13"/>
      <c r="C340" s="17"/>
      <c r="D340" s="18"/>
      <c r="E340" s="18"/>
      <c r="F340" s="18"/>
      <c r="G340" s="18"/>
      <c r="H340" s="18"/>
      <c r="I340" s="18"/>
      <c r="J340" s="18"/>
      <c r="K340" s="18"/>
      <c r="L340" s="18"/>
      <c r="M340" s="18"/>
      <c r="N340" s="18"/>
      <c r="O340" s="18"/>
      <c r="P340" s="18"/>
      <c r="Q340" s="18"/>
      <c r="R340" s="19"/>
      <c r="S340" s="19"/>
    </row>
    <row r="341">
      <c r="A341" s="13"/>
      <c r="B341" s="13"/>
      <c r="C341" s="17"/>
      <c r="D341" s="18"/>
      <c r="E341" s="18"/>
      <c r="F341" s="18"/>
      <c r="G341" s="18"/>
      <c r="H341" s="18"/>
      <c r="I341" s="18"/>
      <c r="J341" s="18"/>
      <c r="K341" s="18"/>
      <c r="L341" s="18"/>
      <c r="M341" s="18"/>
      <c r="N341" s="18"/>
      <c r="O341" s="18"/>
      <c r="P341" s="18"/>
      <c r="Q341" s="18"/>
      <c r="R341" s="19"/>
      <c r="S341" s="19"/>
    </row>
    <row r="342">
      <c r="A342" s="13"/>
      <c r="B342" s="13"/>
      <c r="C342" s="17"/>
      <c r="D342" s="18"/>
      <c r="E342" s="18"/>
      <c r="F342" s="18"/>
      <c r="G342" s="18"/>
      <c r="H342" s="18"/>
      <c r="I342" s="18"/>
      <c r="J342" s="18"/>
      <c r="K342" s="18"/>
      <c r="L342" s="18"/>
      <c r="M342" s="18"/>
      <c r="N342" s="18"/>
      <c r="O342" s="18"/>
      <c r="P342" s="18"/>
      <c r="Q342" s="18"/>
      <c r="R342" s="19"/>
      <c r="S342" s="19"/>
    </row>
    <row r="343">
      <c r="A343" s="13"/>
      <c r="B343" s="13"/>
      <c r="C343" s="17"/>
      <c r="D343" s="18"/>
      <c r="E343" s="18"/>
      <c r="F343" s="18"/>
      <c r="G343" s="18"/>
      <c r="H343" s="18"/>
      <c r="I343" s="18"/>
      <c r="J343" s="18"/>
      <c r="K343" s="18"/>
      <c r="L343" s="18"/>
      <c r="M343" s="18"/>
      <c r="N343" s="18"/>
      <c r="O343" s="18"/>
      <c r="P343" s="18"/>
      <c r="Q343" s="18"/>
      <c r="R343" s="19"/>
      <c r="S343" s="19"/>
    </row>
    <row r="344">
      <c r="A344" s="13"/>
      <c r="B344" s="13"/>
      <c r="C344" s="17"/>
      <c r="D344" s="18"/>
      <c r="E344" s="18"/>
      <c r="F344" s="18"/>
      <c r="G344" s="18"/>
      <c r="H344" s="18"/>
      <c r="I344" s="18"/>
      <c r="J344" s="18"/>
      <c r="K344" s="18"/>
      <c r="L344" s="18"/>
      <c r="M344" s="18"/>
      <c r="N344" s="18"/>
      <c r="O344" s="18"/>
      <c r="P344" s="18"/>
      <c r="Q344" s="18"/>
      <c r="R344" s="19"/>
      <c r="S344" s="19"/>
    </row>
    <row r="345">
      <c r="A345" s="13"/>
      <c r="B345" s="13"/>
      <c r="C345" s="17"/>
      <c r="D345" s="18"/>
      <c r="E345" s="18"/>
      <c r="F345" s="18"/>
      <c r="G345" s="18"/>
      <c r="H345" s="18"/>
      <c r="I345" s="18"/>
      <c r="J345" s="18"/>
      <c r="K345" s="18"/>
      <c r="L345" s="18"/>
      <c r="M345" s="18"/>
      <c r="N345" s="18"/>
      <c r="O345" s="18"/>
      <c r="P345" s="18"/>
      <c r="Q345" s="18"/>
      <c r="R345" s="19"/>
      <c r="S345" s="19"/>
    </row>
    <row r="346">
      <c r="A346" s="13"/>
      <c r="B346" s="13"/>
      <c r="C346" s="17"/>
      <c r="D346" s="18"/>
      <c r="E346" s="18"/>
      <c r="F346" s="18"/>
      <c r="G346" s="18"/>
      <c r="H346" s="18"/>
      <c r="I346" s="18"/>
      <c r="J346" s="18"/>
      <c r="K346" s="18"/>
      <c r="L346" s="18"/>
      <c r="M346" s="18"/>
      <c r="N346" s="18"/>
      <c r="O346" s="18"/>
      <c r="P346" s="18"/>
      <c r="Q346" s="18"/>
      <c r="R346" s="19"/>
      <c r="S346" s="19"/>
    </row>
    <row r="347">
      <c r="A347" s="13"/>
      <c r="B347" s="13"/>
      <c r="C347" s="17"/>
      <c r="D347" s="18"/>
      <c r="E347" s="18"/>
      <c r="F347" s="18"/>
      <c r="G347" s="18"/>
      <c r="H347" s="18"/>
      <c r="I347" s="18"/>
      <c r="J347" s="18"/>
      <c r="K347" s="18"/>
      <c r="L347" s="18"/>
      <c r="M347" s="18"/>
      <c r="N347" s="18"/>
      <c r="O347" s="18"/>
      <c r="P347" s="18"/>
      <c r="Q347" s="18"/>
      <c r="R347" s="19"/>
      <c r="S347" s="19"/>
    </row>
    <row r="348">
      <c r="A348" s="13"/>
      <c r="B348" s="13"/>
      <c r="C348" s="17"/>
      <c r="D348" s="18"/>
      <c r="E348" s="18"/>
      <c r="F348" s="18"/>
      <c r="G348" s="18"/>
      <c r="H348" s="18"/>
      <c r="I348" s="18"/>
      <c r="J348" s="18"/>
      <c r="K348" s="18"/>
      <c r="L348" s="18"/>
      <c r="M348" s="18"/>
      <c r="N348" s="18"/>
      <c r="O348" s="18"/>
      <c r="P348" s="18"/>
      <c r="Q348" s="18"/>
      <c r="R348" s="19"/>
      <c r="S348" s="19"/>
    </row>
    <row r="349">
      <c r="A349" s="13"/>
      <c r="B349" s="13"/>
      <c r="C349" s="17"/>
      <c r="D349" s="18"/>
      <c r="E349" s="18"/>
      <c r="F349" s="18"/>
      <c r="G349" s="18"/>
      <c r="H349" s="18"/>
      <c r="I349" s="18"/>
      <c r="J349" s="18"/>
      <c r="K349" s="18"/>
      <c r="L349" s="18"/>
      <c r="M349" s="18"/>
      <c r="N349" s="18"/>
      <c r="O349" s="18"/>
      <c r="P349" s="18"/>
      <c r="Q349" s="18"/>
      <c r="R349" s="19"/>
      <c r="S349" s="19"/>
    </row>
    <row r="350">
      <c r="A350" s="13"/>
      <c r="B350" s="13"/>
      <c r="C350" s="17"/>
      <c r="D350" s="18"/>
      <c r="E350" s="18"/>
      <c r="F350" s="18"/>
      <c r="G350" s="18"/>
      <c r="H350" s="18"/>
      <c r="I350" s="18"/>
      <c r="J350" s="18"/>
      <c r="K350" s="18"/>
      <c r="L350" s="18"/>
      <c r="M350" s="18"/>
      <c r="N350" s="18"/>
      <c r="O350" s="18"/>
      <c r="P350" s="18"/>
      <c r="Q350" s="18"/>
      <c r="R350" s="19"/>
      <c r="S350" s="19"/>
    </row>
    <row r="351">
      <c r="A351" s="13"/>
      <c r="B351" s="13"/>
      <c r="C351" s="17"/>
      <c r="D351" s="18"/>
      <c r="E351" s="18"/>
      <c r="F351" s="18"/>
      <c r="G351" s="18"/>
      <c r="H351" s="18"/>
      <c r="I351" s="18"/>
      <c r="J351" s="18"/>
      <c r="K351" s="18"/>
      <c r="L351" s="18"/>
      <c r="M351" s="18"/>
      <c r="N351" s="18"/>
      <c r="O351" s="18"/>
      <c r="P351" s="18"/>
      <c r="Q351" s="18"/>
      <c r="R351" s="19"/>
      <c r="S351" s="19"/>
    </row>
    <row r="352">
      <c r="A352" s="13"/>
      <c r="B352" s="13"/>
      <c r="C352" s="17"/>
      <c r="D352" s="18"/>
      <c r="E352" s="18"/>
      <c r="F352" s="18"/>
      <c r="G352" s="18"/>
      <c r="H352" s="18"/>
      <c r="I352" s="18"/>
      <c r="J352" s="18"/>
      <c r="K352" s="18"/>
      <c r="L352" s="18"/>
      <c r="M352" s="18"/>
      <c r="N352" s="18"/>
      <c r="O352" s="18"/>
      <c r="P352" s="18"/>
      <c r="Q352" s="18"/>
      <c r="R352" s="19"/>
      <c r="S352" s="19"/>
    </row>
    <row r="353">
      <c r="A353" s="13"/>
      <c r="B353" s="13"/>
      <c r="C353" s="17"/>
      <c r="D353" s="18"/>
      <c r="E353" s="18"/>
      <c r="F353" s="18"/>
      <c r="G353" s="18"/>
      <c r="H353" s="18"/>
      <c r="I353" s="18"/>
      <c r="J353" s="18"/>
      <c r="K353" s="18"/>
      <c r="L353" s="18"/>
      <c r="M353" s="18"/>
      <c r="N353" s="18"/>
      <c r="O353" s="18"/>
      <c r="P353" s="18"/>
      <c r="Q353" s="18"/>
      <c r="R353" s="19"/>
      <c r="S353" s="19"/>
    </row>
    <row r="354">
      <c r="A354" s="13"/>
      <c r="B354" s="13"/>
      <c r="C354" s="17"/>
      <c r="D354" s="18"/>
      <c r="E354" s="18"/>
      <c r="F354" s="18"/>
      <c r="G354" s="18"/>
      <c r="H354" s="18"/>
      <c r="I354" s="18"/>
      <c r="J354" s="18"/>
      <c r="K354" s="18"/>
      <c r="L354" s="18"/>
      <c r="M354" s="18"/>
      <c r="N354" s="18"/>
      <c r="O354" s="18"/>
      <c r="P354" s="18"/>
      <c r="Q354" s="18"/>
      <c r="R354" s="19"/>
      <c r="S354" s="19"/>
    </row>
    <row r="355">
      <c r="A355" s="13"/>
      <c r="B355" s="13"/>
      <c r="C355" s="17"/>
      <c r="D355" s="18"/>
      <c r="E355" s="18"/>
      <c r="F355" s="18"/>
      <c r="G355" s="18"/>
      <c r="H355" s="18"/>
      <c r="I355" s="18"/>
      <c r="J355" s="18"/>
      <c r="K355" s="18"/>
      <c r="L355" s="18"/>
      <c r="M355" s="18"/>
      <c r="N355" s="18"/>
      <c r="O355" s="18"/>
      <c r="P355" s="18"/>
      <c r="Q355" s="18"/>
      <c r="R355" s="19"/>
      <c r="S355" s="19"/>
    </row>
    <row r="356">
      <c r="A356" s="13"/>
      <c r="B356" s="13"/>
      <c r="C356" s="17"/>
      <c r="D356" s="18"/>
      <c r="E356" s="18"/>
      <c r="F356" s="18"/>
      <c r="G356" s="18"/>
      <c r="H356" s="18"/>
      <c r="I356" s="18"/>
      <c r="J356" s="18"/>
      <c r="K356" s="18"/>
      <c r="L356" s="18"/>
      <c r="M356" s="18"/>
      <c r="N356" s="18"/>
      <c r="O356" s="18"/>
      <c r="P356" s="18"/>
      <c r="Q356" s="18"/>
      <c r="R356" s="19"/>
      <c r="S356" s="19"/>
    </row>
    <row r="357">
      <c r="A357" s="13"/>
      <c r="B357" s="13"/>
      <c r="C357" s="17"/>
      <c r="D357" s="18"/>
      <c r="E357" s="18"/>
      <c r="F357" s="18"/>
      <c r="G357" s="18"/>
      <c r="H357" s="18"/>
      <c r="I357" s="18"/>
      <c r="J357" s="18"/>
      <c r="K357" s="18"/>
      <c r="L357" s="18"/>
      <c r="M357" s="18"/>
      <c r="N357" s="18"/>
      <c r="O357" s="18"/>
      <c r="P357" s="18"/>
      <c r="Q357" s="18"/>
      <c r="R357" s="19"/>
      <c r="S357" s="19"/>
    </row>
    <row r="358">
      <c r="A358" s="13"/>
      <c r="B358" s="13"/>
      <c r="C358" s="17"/>
      <c r="D358" s="18"/>
      <c r="E358" s="18"/>
      <c r="F358" s="18"/>
      <c r="G358" s="18"/>
      <c r="H358" s="18"/>
      <c r="I358" s="18"/>
      <c r="J358" s="18"/>
      <c r="K358" s="18"/>
      <c r="L358" s="18"/>
      <c r="M358" s="18"/>
      <c r="N358" s="18"/>
      <c r="O358" s="18"/>
      <c r="P358" s="18"/>
      <c r="Q358" s="18"/>
      <c r="R358" s="19"/>
      <c r="S358" s="19"/>
    </row>
    <row r="359">
      <c r="A359" s="13"/>
      <c r="B359" s="13"/>
      <c r="C359" s="17"/>
      <c r="D359" s="18"/>
      <c r="E359" s="18"/>
      <c r="F359" s="18"/>
      <c r="G359" s="18"/>
      <c r="H359" s="18"/>
      <c r="I359" s="18"/>
      <c r="J359" s="18"/>
      <c r="K359" s="18"/>
      <c r="L359" s="18"/>
      <c r="M359" s="18"/>
      <c r="N359" s="18"/>
      <c r="O359" s="18"/>
      <c r="P359" s="18"/>
      <c r="Q359" s="18"/>
      <c r="R359" s="19"/>
      <c r="S359" s="19"/>
    </row>
    <row r="360">
      <c r="A360" s="13"/>
      <c r="B360" s="13"/>
      <c r="C360" s="17"/>
      <c r="D360" s="18"/>
      <c r="E360" s="18"/>
      <c r="F360" s="18"/>
      <c r="G360" s="18"/>
      <c r="H360" s="18"/>
      <c r="I360" s="18"/>
      <c r="J360" s="18"/>
      <c r="K360" s="18"/>
      <c r="L360" s="18"/>
      <c r="M360" s="18"/>
      <c r="N360" s="18"/>
      <c r="O360" s="18"/>
      <c r="P360" s="18"/>
      <c r="Q360" s="18"/>
      <c r="R360" s="19"/>
      <c r="S360" s="19"/>
    </row>
    <row r="361">
      <c r="A361" s="13"/>
      <c r="B361" s="13"/>
      <c r="C361" s="17"/>
      <c r="D361" s="18"/>
      <c r="E361" s="18"/>
      <c r="F361" s="18"/>
      <c r="G361" s="18"/>
      <c r="H361" s="18"/>
      <c r="I361" s="18"/>
      <c r="J361" s="18"/>
      <c r="K361" s="18"/>
      <c r="L361" s="18"/>
      <c r="M361" s="18"/>
      <c r="N361" s="18"/>
      <c r="O361" s="18"/>
      <c r="P361" s="18"/>
      <c r="Q361" s="18"/>
      <c r="R361" s="19"/>
      <c r="S361" s="19"/>
    </row>
    <row r="362">
      <c r="A362" s="13"/>
      <c r="B362" s="13"/>
      <c r="C362" s="17"/>
      <c r="D362" s="18"/>
      <c r="E362" s="18"/>
      <c r="F362" s="18"/>
      <c r="G362" s="18"/>
      <c r="H362" s="18"/>
      <c r="I362" s="18"/>
      <c r="J362" s="18"/>
      <c r="K362" s="18"/>
      <c r="L362" s="18"/>
      <c r="M362" s="18"/>
      <c r="N362" s="18"/>
      <c r="O362" s="18"/>
      <c r="P362" s="18"/>
      <c r="Q362" s="18"/>
      <c r="R362" s="19"/>
      <c r="S362" s="19"/>
    </row>
    <row r="363">
      <c r="A363" s="13"/>
      <c r="B363" s="13"/>
      <c r="C363" s="17"/>
      <c r="D363" s="18"/>
      <c r="E363" s="18"/>
      <c r="F363" s="18"/>
      <c r="G363" s="18"/>
      <c r="H363" s="18"/>
      <c r="I363" s="18"/>
      <c r="J363" s="18"/>
      <c r="K363" s="18"/>
      <c r="L363" s="18"/>
      <c r="M363" s="18"/>
      <c r="N363" s="18"/>
      <c r="O363" s="18"/>
      <c r="P363" s="18"/>
      <c r="Q363" s="18"/>
      <c r="R363" s="19"/>
      <c r="S363" s="19"/>
    </row>
    <row r="364">
      <c r="A364" s="13"/>
      <c r="B364" s="13"/>
      <c r="C364" s="17"/>
      <c r="D364" s="18"/>
      <c r="E364" s="18"/>
      <c r="F364" s="18"/>
      <c r="G364" s="18"/>
      <c r="H364" s="18"/>
      <c r="I364" s="18"/>
      <c r="J364" s="18"/>
      <c r="K364" s="18"/>
      <c r="L364" s="18"/>
      <c r="M364" s="18"/>
      <c r="N364" s="18"/>
      <c r="O364" s="18"/>
      <c r="P364" s="18"/>
      <c r="Q364" s="18"/>
      <c r="R364" s="19"/>
      <c r="S364" s="19"/>
    </row>
    <row r="365">
      <c r="A365" s="13"/>
      <c r="B365" s="13"/>
      <c r="C365" s="17"/>
      <c r="D365" s="18"/>
      <c r="E365" s="18"/>
      <c r="F365" s="18"/>
      <c r="G365" s="18"/>
      <c r="H365" s="18"/>
      <c r="I365" s="18"/>
      <c r="J365" s="18"/>
      <c r="K365" s="18"/>
      <c r="L365" s="18"/>
      <c r="M365" s="18"/>
      <c r="N365" s="18"/>
      <c r="O365" s="18"/>
      <c r="P365" s="18"/>
      <c r="Q365" s="18"/>
      <c r="R365" s="19"/>
      <c r="S365" s="19"/>
    </row>
    <row r="366">
      <c r="A366" s="13"/>
      <c r="B366" s="13"/>
      <c r="C366" s="17"/>
      <c r="D366" s="18"/>
      <c r="E366" s="18"/>
      <c r="F366" s="18"/>
      <c r="G366" s="18"/>
      <c r="H366" s="18"/>
      <c r="I366" s="18"/>
      <c r="J366" s="18"/>
      <c r="K366" s="18"/>
      <c r="L366" s="18"/>
      <c r="M366" s="18"/>
      <c r="N366" s="18"/>
      <c r="O366" s="18"/>
      <c r="P366" s="18"/>
      <c r="Q366" s="18"/>
      <c r="R366" s="19"/>
      <c r="S366" s="19"/>
    </row>
    <row r="367">
      <c r="A367" s="13"/>
      <c r="B367" s="13"/>
      <c r="C367" s="17"/>
      <c r="D367" s="18"/>
      <c r="E367" s="18"/>
      <c r="F367" s="18"/>
      <c r="G367" s="18"/>
      <c r="H367" s="18"/>
      <c r="I367" s="18"/>
      <c r="J367" s="18"/>
      <c r="K367" s="18"/>
      <c r="L367" s="18"/>
      <c r="M367" s="18"/>
      <c r="N367" s="18"/>
      <c r="O367" s="18"/>
      <c r="P367" s="18"/>
      <c r="Q367" s="18"/>
      <c r="R367" s="19"/>
      <c r="S367" s="19"/>
    </row>
    <row r="368">
      <c r="A368" s="13"/>
      <c r="B368" s="13"/>
      <c r="C368" s="17"/>
      <c r="D368" s="18"/>
      <c r="E368" s="18"/>
      <c r="F368" s="18"/>
      <c r="G368" s="18"/>
      <c r="H368" s="18"/>
      <c r="I368" s="18"/>
      <c r="J368" s="18"/>
      <c r="K368" s="18"/>
      <c r="L368" s="18"/>
      <c r="M368" s="18"/>
      <c r="N368" s="18"/>
      <c r="O368" s="18"/>
      <c r="P368" s="18"/>
      <c r="Q368" s="18"/>
      <c r="R368" s="19"/>
      <c r="S368" s="19"/>
    </row>
    <row r="369">
      <c r="A369" s="13"/>
      <c r="B369" s="13"/>
      <c r="C369" s="17"/>
      <c r="D369" s="18"/>
      <c r="E369" s="18"/>
      <c r="F369" s="18"/>
      <c r="G369" s="18"/>
      <c r="H369" s="18"/>
      <c r="I369" s="18"/>
      <c r="J369" s="18"/>
      <c r="K369" s="18"/>
      <c r="L369" s="18"/>
      <c r="M369" s="18"/>
      <c r="N369" s="18"/>
      <c r="O369" s="18"/>
      <c r="P369" s="18"/>
      <c r="Q369" s="18"/>
      <c r="R369" s="19"/>
      <c r="S369" s="19"/>
    </row>
    <row r="370">
      <c r="A370" s="13"/>
      <c r="B370" s="13"/>
      <c r="C370" s="17"/>
      <c r="D370" s="18"/>
      <c r="E370" s="18"/>
      <c r="F370" s="18"/>
      <c r="G370" s="18"/>
      <c r="H370" s="18"/>
      <c r="I370" s="18"/>
      <c r="J370" s="18"/>
      <c r="K370" s="18"/>
      <c r="L370" s="18"/>
      <c r="M370" s="18"/>
      <c r="N370" s="18"/>
      <c r="O370" s="18"/>
      <c r="P370" s="18"/>
      <c r="Q370" s="18"/>
      <c r="R370" s="19"/>
      <c r="S370" s="19"/>
    </row>
    <row r="371">
      <c r="A371" s="13"/>
      <c r="B371" s="13"/>
      <c r="C371" s="17"/>
      <c r="D371" s="18"/>
      <c r="E371" s="18"/>
      <c r="F371" s="18"/>
      <c r="G371" s="18"/>
      <c r="H371" s="18"/>
      <c r="I371" s="18"/>
      <c r="J371" s="18"/>
      <c r="K371" s="18"/>
      <c r="L371" s="18"/>
      <c r="M371" s="18"/>
      <c r="N371" s="18"/>
      <c r="O371" s="18"/>
      <c r="P371" s="18"/>
      <c r="Q371" s="18"/>
      <c r="R371" s="19"/>
      <c r="S371" s="19"/>
    </row>
    <row r="372">
      <c r="A372" s="13"/>
      <c r="B372" s="13"/>
      <c r="C372" s="17"/>
      <c r="D372" s="18"/>
      <c r="E372" s="18"/>
      <c r="F372" s="18"/>
      <c r="G372" s="18"/>
      <c r="H372" s="18"/>
      <c r="I372" s="18"/>
      <c r="J372" s="18"/>
      <c r="K372" s="18"/>
      <c r="L372" s="18"/>
      <c r="M372" s="18"/>
      <c r="N372" s="18"/>
      <c r="O372" s="18"/>
      <c r="P372" s="18"/>
      <c r="Q372" s="18"/>
      <c r="R372" s="19"/>
      <c r="S372" s="19"/>
    </row>
    <row r="373">
      <c r="A373" s="13"/>
      <c r="B373" s="13"/>
      <c r="C373" s="17"/>
      <c r="D373" s="18"/>
      <c r="E373" s="18"/>
      <c r="F373" s="18"/>
      <c r="G373" s="18"/>
      <c r="H373" s="18"/>
      <c r="I373" s="18"/>
      <c r="J373" s="18"/>
      <c r="K373" s="18"/>
      <c r="L373" s="18"/>
      <c r="M373" s="18"/>
      <c r="N373" s="18"/>
      <c r="O373" s="18"/>
      <c r="P373" s="18"/>
      <c r="Q373" s="18"/>
      <c r="R373" s="19"/>
      <c r="S373" s="19"/>
    </row>
    <row r="374">
      <c r="A374" s="13"/>
      <c r="B374" s="13"/>
      <c r="C374" s="17"/>
      <c r="D374" s="18"/>
      <c r="E374" s="18"/>
      <c r="F374" s="18"/>
      <c r="G374" s="18"/>
      <c r="H374" s="18"/>
      <c r="I374" s="18"/>
      <c r="J374" s="18"/>
      <c r="K374" s="18"/>
      <c r="L374" s="18"/>
      <c r="M374" s="18"/>
      <c r="N374" s="18"/>
      <c r="O374" s="18"/>
      <c r="P374" s="18"/>
      <c r="Q374" s="18"/>
      <c r="R374" s="19"/>
      <c r="S374" s="19"/>
    </row>
    <row r="375">
      <c r="A375" s="13"/>
      <c r="B375" s="13"/>
      <c r="C375" s="17"/>
      <c r="D375" s="18"/>
      <c r="E375" s="18"/>
      <c r="F375" s="18"/>
      <c r="G375" s="18"/>
      <c r="H375" s="18"/>
      <c r="I375" s="18"/>
      <c r="J375" s="18"/>
      <c r="K375" s="18"/>
      <c r="L375" s="18"/>
      <c r="M375" s="18"/>
      <c r="N375" s="18"/>
      <c r="O375" s="18"/>
      <c r="P375" s="18"/>
      <c r="Q375" s="18"/>
      <c r="R375" s="19"/>
      <c r="S375" s="19"/>
    </row>
    <row r="376">
      <c r="A376" s="13"/>
      <c r="B376" s="13"/>
      <c r="C376" s="17"/>
      <c r="D376" s="18"/>
      <c r="E376" s="18"/>
      <c r="F376" s="18"/>
      <c r="G376" s="18"/>
      <c r="H376" s="18"/>
      <c r="I376" s="18"/>
      <c r="J376" s="18"/>
      <c r="K376" s="18"/>
      <c r="L376" s="18"/>
      <c r="M376" s="18"/>
      <c r="N376" s="18"/>
      <c r="O376" s="18"/>
      <c r="P376" s="18"/>
      <c r="Q376" s="18"/>
      <c r="R376" s="19"/>
      <c r="S376" s="19"/>
    </row>
    <row r="377">
      <c r="A377" s="13"/>
      <c r="B377" s="13"/>
      <c r="C377" s="17"/>
      <c r="D377" s="18"/>
      <c r="E377" s="18"/>
      <c r="F377" s="18"/>
      <c r="G377" s="18"/>
      <c r="H377" s="18"/>
      <c r="I377" s="18"/>
      <c r="J377" s="18"/>
      <c r="K377" s="18"/>
      <c r="L377" s="18"/>
      <c r="M377" s="18"/>
      <c r="N377" s="18"/>
      <c r="O377" s="18"/>
      <c r="P377" s="18"/>
      <c r="Q377" s="18"/>
      <c r="R377" s="19"/>
      <c r="S377" s="19"/>
    </row>
    <row r="378">
      <c r="A378" s="13"/>
      <c r="B378" s="13"/>
      <c r="C378" s="17"/>
      <c r="D378" s="18"/>
      <c r="E378" s="18"/>
      <c r="F378" s="18"/>
      <c r="G378" s="18"/>
      <c r="H378" s="18"/>
      <c r="I378" s="18"/>
      <c r="J378" s="18"/>
      <c r="K378" s="18"/>
      <c r="L378" s="18"/>
      <c r="M378" s="18"/>
      <c r="N378" s="18"/>
      <c r="O378" s="18"/>
      <c r="P378" s="18"/>
      <c r="Q378" s="18"/>
      <c r="R378" s="19"/>
      <c r="S378" s="19"/>
    </row>
    <row r="379">
      <c r="A379" s="13"/>
      <c r="B379" s="13"/>
      <c r="C379" s="17"/>
      <c r="D379" s="18"/>
      <c r="E379" s="18"/>
      <c r="F379" s="18"/>
      <c r="G379" s="18"/>
      <c r="H379" s="18"/>
      <c r="I379" s="18"/>
      <c r="J379" s="18"/>
      <c r="K379" s="18"/>
      <c r="L379" s="18"/>
      <c r="M379" s="18"/>
      <c r="N379" s="18"/>
      <c r="O379" s="18"/>
      <c r="P379" s="18"/>
      <c r="Q379" s="18"/>
      <c r="R379" s="19"/>
      <c r="S379" s="19"/>
    </row>
    <row r="380">
      <c r="A380" s="13"/>
      <c r="B380" s="13"/>
      <c r="C380" s="17"/>
      <c r="D380" s="18"/>
      <c r="E380" s="18"/>
      <c r="F380" s="18"/>
      <c r="G380" s="18"/>
      <c r="H380" s="18"/>
      <c r="I380" s="18"/>
      <c r="J380" s="18"/>
      <c r="K380" s="18"/>
      <c r="L380" s="18"/>
      <c r="M380" s="18"/>
      <c r="N380" s="18"/>
      <c r="O380" s="18"/>
      <c r="P380" s="18"/>
      <c r="Q380" s="18"/>
      <c r="R380" s="19"/>
      <c r="S380" s="19"/>
    </row>
    <row r="381">
      <c r="A381" s="13"/>
      <c r="B381" s="13"/>
      <c r="C381" s="17"/>
      <c r="D381" s="18"/>
      <c r="E381" s="18"/>
      <c r="F381" s="18"/>
      <c r="G381" s="18"/>
      <c r="H381" s="18"/>
      <c r="I381" s="18"/>
      <c r="J381" s="18"/>
      <c r="K381" s="18"/>
      <c r="L381" s="18"/>
      <c r="M381" s="18"/>
      <c r="N381" s="18"/>
      <c r="O381" s="18"/>
      <c r="P381" s="18"/>
      <c r="Q381" s="18"/>
      <c r="R381" s="19"/>
      <c r="S381" s="19"/>
    </row>
    <row r="382">
      <c r="A382" s="13"/>
      <c r="B382" s="13"/>
      <c r="C382" s="17"/>
      <c r="D382" s="18"/>
      <c r="E382" s="18"/>
      <c r="F382" s="18"/>
      <c r="G382" s="18"/>
      <c r="H382" s="18"/>
      <c r="I382" s="18"/>
      <c r="J382" s="18"/>
      <c r="K382" s="18"/>
      <c r="L382" s="18"/>
      <c r="M382" s="18"/>
      <c r="N382" s="18"/>
      <c r="O382" s="18"/>
      <c r="P382" s="18"/>
      <c r="Q382" s="18"/>
      <c r="R382" s="19"/>
      <c r="S382" s="19"/>
    </row>
    <row r="383">
      <c r="A383" s="13"/>
      <c r="B383" s="13"/>
      <c r="C383" s="17"/>
      <c r="D383" s="18"/>
      <c r="E383" s="18"/>
      <c r="F383" s="18"/>
      <c r="G383" s="18"/>
      <c r="H383" s="18"/>
      <c r="I383" s="18"/>
      <c r="J383" s="18"/>
      <c r="K383" s="18"/>
      <c r="L383" s="18"/>
      <c r="M383" s="18"/>
      <c r="N383" s="18"/>
      <c r="O383" s="18"/>
      <c r="P383" s="18"/>
      <c r="Q383" s="18"/>
      <c r="R383" s="19"/>
      <c r="S383" s="19"/>
    </row>
    <row r="384">
      <c r="A384" s="13"/>
      <c r="B384" s="13"/>
      <c r="C384" s="17"/>
      <c r="D384" s="18"/>
      <c r="E384" s="18"/>
      <c r="F384" s="18"/>
      <c r="G384" s="18"/>
      <c r="H384" s="18"/>
      <c r="I384" s="18"/>
      <c r="J384" s="18"/>
      <c r="K384" s="18"/>
      <c r="L384" s="18"/>
      <c r="M384" s="18"/>
      <c r="N384" s="18"/>
      <c r="O384" s="18"/>
      <c r="P384" s="18"/>
      <c r="Q384" s="18"/>
      <c r="R384" s="19"/>
      <c r="S384" s="19"/>
    </row>
    <row r="385">
      <c r="A385" s="13"/>
      <c r="B385" s="13"/>
      <c r="C385" s="17"/>
      <c r="D385" s="18"/>
      <c r="E385" s="18"/>
      <c r="F385" s="18"/>
      <c r="G385" s="18"/>
      <c r="H385" s="18"/>
      <c r="I385" s="18"/>
      <c r="J385" s="18"/>
      <c r="K385" s="18"/>
      <c r="L385" s="18"/>
      <c r="M385" s="18"/>
      <c r="N385" s="18"/>
      <c r="O385" s="18"/>
      <c r="P385" s="18"/>
      <c r="Q385" s="18"/>
      <c r="R385" s="19"/>
      <c r="S385" s="19"/>
    </row>
    <row r="386">
      <c r="A386" s="13"/>
      <c r="B386" s="13"/>
      <c r="C386" s="17"/>
      <c r="D386" s="18"/>
      <c r="E386" s="18"/>
      <c r="F386" s="18"/>
      <c r="G386" s="18"/>
      <c r="H386" s="18"/>
      <c r="I386" s="18"/>
      <c r="J386" s="18"/>
      <c r="K386" s="18"/>
      <c r="L386" s="18"/>
      <c r="M386" s="18"/>
      <c r="N386" s="18"/>
      <c r="O386" s="18"/>
      <c r="P386" s="18"/>
      <c r="Q386" s="18"/>
      <c r="R386" s="19"/>
      <c r="S386" s="19"/>
    </row>
    <row r="387">
      <c r="A387" s="13"/>
      <c r="B387" s="13"/>
      <c r="C387" s="17"/>
      <c r="D387" s="18"/>
      <c r="E387" s="18"/>
      <c r="F387" s="18"/>
      <c r="G387" s="18"/>
      <c r="H387" s="18"/>
      <c r="I387" s="18"/>
      <c r="J387" s="18"/>
      <c r="K387" s="18"/>
      <c r="L387" s="18"/>
      <c r="M387" s="18"/>
      <c r="N387" s="18"/>
      <c r="O387" s="18"/>
      <c r="P387" s="18"/>
      <c r="Q387" s="18"/>
      <c r="R387" s="19"/>
      <c r="S387" s="19"/>
    </row>
    <row r="388">
      <c r="A388" s="13"/>
      <c r="B388" s="13"/>
      <c r="C388" s="17"/>
      <c r="D388" s="18"/>
      <c r="E388" s="18"/>
      <c r="F388" s="18"/>
      <c r="G388" s="18"/>
      <c r="H388" s="18"/>
      <c r="I388" s="18"/>
      <c r="J388" s="18"/>
      <c r="K388" s="18"/>
      <c r="L388" s="18"/>
      <c r="M388" s="18"/>
      <c r="N388" s="18"/>
      <c r="O388" s="18"/>
      <c r="P388" s="18"/>
      <c r="Q388" s="18"/>
      <c r="R388" s="19"/>
      <c r="S388" s="19"/>
    </row>
    <row r="389">
      <c r="A389" s="13"/>
      <c r="B389" s="13"/>
      <c r="C389" s="17"/>
      <c r="D389" s="18"/>
      <c r="E389" s="18"/>
      <c r="F389" s="18"/>
      <c r="G389" s="18"/>
      <c r="H389" s="18"/>
      <c r="I389" s="18"/>
      <c r="J389" s="18"/>
      <c r="K389" s="18"/>
      <c r="L389" s="18"/>
      <c r="M389" s="18"/>
      <c r="N389" s="18"/>
      <c r="O389" s="18"/>
      <c r="P389" s="18"/>
      <c r="Q389" s="18"/>
      <c r="R389" s="19"/>
      <c r="S389" s="19"/>
    </row>
    <row r="390">
      <c r="A390" s="13"/>
      <c r="B390" s="13"/>
      <c r="C390" s="17"/>
      <c r="D390" s="18"/>
      <c r="E390" s="18"/>
      <c r="F390" s="18"/>
      <c r="G390" s="18"/>
      <c r="H390" s="18"/>
      <c r="I390" s="18"/>
      <c r="J390" s="18"/>
      <c r="K390" s="18"/>
      <c r="L390" s="18"/>
      <c r="M390" s="18"/>
      <c r="N390" s="18"/>
      <c r="O390" s="18"/>
      <c r="P390" s="18"/>
      <c r="Q390" s="18"/>
      <c r="R390" s="19"/>
      <c r="S390" s="19"/>
    </row>
    <row r="391">
      <c r="A391" s="13"/>
      <c r="B391" s="13"/>
      <c r="C391" s="17"/>
      <c r="D391" s="18"/>
      <c r="E391" s="18"/>
      <c r="F391" s="18"/>
      <c r="G391" s="18"/>
      <c r="H391" s="18"/>
      <c r="I391" s="18"/>
      <c r="J391" s="18"/>
      <c r="K391" s="18"/>
      <c r="L391" s="18"/>
      <c r="M391" s="18"/>
      <c r="N391" s="18"/>
      <c r="O391" s="18"/>
      <c r="P391" s="18"/>
      <c r="Q391" s="18"/>
      <c r="R391" s="19"/>
      <c r="S391" s="19"/>
    </row>
    <row r="392">
      <c r="A392" s="13"/>
      <c r="B392" s="13"/>
      <c r="C392" s="17"/>
      <c r="D392" s="18"/>
      <c r="E392" s="18"/>
      <c r="F392" s="18"/>
      <c r="G392" s="18"/>
      <c r="H392" s="18"/>
      <c r="I392" s="18"/>
      <c r="J392" s="18"/>
      <c r="K392" s="18"/>
      <c r="L392" s="18"/>
      <c r="M392" s="18"/>
      <c r="N392" s="18"/>
      <c r="O392" s="18"/>
      <c r="P392" s="18"/>
      <c r="Q392" s="18"/>
      <c r="R392" s="19"/>
      <c r="S392" s="19"/>
    </row>
    <row r="393">
      <c r="A393" s="13"/>
      <c r="B393" s="13"/>
      <c r="C393" s="17"/>
      <c r="D393" s="18"/>
      <c r="E393" s="18"/>
      <c r="F393" s="18"/>
      <c r="G393" s="18"/>
      <c r="H393" s="18"/>
      <c r="I393" s="18"/>
      <c r="J393" s="18"/>
      <c r="K393" s="18"/>
      <c r="L393" s="18"/>
      <c r="M393" s="18"/>
      <c r="N393" s="18"/>
      <c r="O393" s="18"/>
      <c r="P393" s="18"/>
      <c r="Q393" s="18"/>
      <c r="R393" s="19"/>
      <c r="S393" s="19"/>
    </row>
    <row r="394">
      <c r="A394" s="13"/>
      <c r="B394" s="13"/>
      <c r="C394" s="17"/>
      <c r="D394" s="18"/>
      <c r="E394" s="18"/>
      <c r="F394" s="18"/>
      <c r="G394" s="18"/>
      <c r="H394" s="18"/>
      <c r="I394" s="18"/>
      <c r="J394" s="18"/>
      <c r="K394" s="18"/>
      <c r="L394" s="18"/>
      <c r="M394" s="18"/>
      <c r="N394" s="18"/>
      <c r="O394" s="18"/>
      <c r="P394" s="18"/>
      <c r="Q394" s="18"/>
      <c r="R394" s="19"/>
      <c r="S394" s="19"/>
    </row>
    <row r="395">
      <c r="A395" s="13"/>
      <c r="B395" s="13"/>
      <c r="C395" s="17"/>
      <c r="D395" s="18"/>
      <c r="E395" s="18"/>
      <c r="F395" s="18"/>
      <c r="G395" s="18"/>
      <c r="H395" s="18"/>
      <c r="I395" s="18"/>
      <c r="J395" s="18"/>
      <c r="K395" s="18"/>
      <c r="L395" s="18"/>
      <c r="M395" s="18"/>
      <c r="N395" s="18"/>
      <c r="O395" s="18"/>
      <c r="P395" s="18"/>
      <c r="Q395" s="18"/>
      <c r="R395" s="19"/>
      <c r="S395" s="19"/>
    </row>
    <row r="396">
      <c r="A396" s="13"/>
      <c r="B396" s="13"/>
      <c r="C396" s="17"/>
      <c r="D396" s="18"/>
      <c r="E396" s="18"/>
      <c r="F396" s="18"/>
      <c r="G396" s="18"/>
      <c r="H396" s="18"/>
      <c r="I396" s="18"/>
      <c r="J396" s="18"/>
      <c r="K396" s="18"/>
      <c r="L396" s="18"/>
      <c r="M396" s="18"/>
      <c r="N396" s="18"/>
      <c r="O396" s="18"/>
      <c r="P396" s="18"/>
      <c r="Q396" s="18"/>
      <c r="R396" s="19"/>
      <c r="S396" s="19"/>
    </row>
    <row r="397">
      <c r="A397" s="13"/>
      <c r="B397" s="13"/>
      <c r="C397" s="17"/>
      <c r="D397" s="18"/>
      <c r="E397" s="18"/>
      <c r="F397" s="18"/>
      <c r="G397" s="18"/>
      <c r="H397" s="18"/>
      <c r="I397" s="18"/>
      <c r="J397" s="18"/>
      <c r="K397" s="18"/>
      <c r="L397" s="18"/>
      <c r="M397" s="18"/>
      <c r="N397" s="18"/>
      <c r="O397" s="18"/>
      <c r="P397" s="18"/>
      <c r="Q397" s="18"/>
      <c r="R397" s="19"/>
      <c r="S397" s="19"/>
    </row>
    <row r="398">
      <c r="A398" s="13"/>
      <c r="B398" s="13"/>
      <c r="C398" s="17"/>
      <c r="D398" s="18"/>
      <c r="E398" s="18"/>
      <c r="F398" s="18"/>
      <c r="G398" s="18"/>
      <c r="H398" s="18"/>
      <c r="I398" s="18"/>
      <c r="J398" s="18"/>
      <c r="K398" s="18"/>
      <c r="L398" s="18"/>
      <c r="M398" s="18"/>
      <c r="N398" s="18"/>
      <c r="O398" s="18"/>
      <c r="P398" s="18"/>
      <c r="Q398" s="18"/>
      <c r="R398" s="19"/>
      <c r="S398" s="19"/>
    </row>
    <row r="399">
      <c r="A399" s="13"/>
      <c r="B399" s="13"/>
      <c r="C399" s="17"/>
      <c r="D399" s="18"/>
      <c r="E399" s="18"/>
      <c r="F399" s="18"/>
      <c r="G399" s="18"/>
      <c r="H399" s="18"/>
      <c r="I399" s="18"/>
      <c r="J399" s="18"/>
      <c r="K399" s="18"/>
      <c r="L399" s="18"/>
      <c r="M399" s="18"/>
      <c r="N399" s="18"/>
      <c r="O399" s="18"/>
      <c r="P399" s="18"/>
      <c r="Q399" s="18"/>
      <c r="R399" s="19"/>
      <c r="S399" s="19"/>
    </row>
    <row r="400">
      <c r="A400" s="13"/>
      <c r="B400" s="13"/>
      <c r="C400" s="17"/>
      <c r="D400" s="18"/>
      <c r="E400" s="18"/>
      <c r="F400" s="18"/>
      <c r="G400" s="18"/>
      <c r="H400" s="18"/>
      <c r="I400" s="18"/>
      <c r="J400" s="18"/>
      <c r="K400" s="18"/>
      <c r="L400" s="18"/>
      <c r="M400" s="18"/>
      <c r="N400" s="18"/>
      <c r="O400" s="18"/>
      <c r="P400" s="18"/>
      <c r="Q400" s="18"/>
      <c r="R400" s="19"/>
      <c r="S400" s="19"/>
    </row>
    <row r="401">
      <c r="A401" s="13"/>
      <c r="B401" s="13"/>
      <c r="C401" s="17"/>
      <c r="D401" s="18"/>
      <c r="E401" s="18"/>
      <c r="F401" s="18"/>
      <c r="G401" s="18"/>
      <c r="H401" s="18"/>
      <c r="I401" s="18"/>
      <c r="J401" s="18"/>
      <c r="K401" s="18"/>
      <c r="L401" s="18"/>
      <c r="M401" s="18"/>
      <c r="N401" s="18"/>
      <c r="O401" s="18"/>
      <c r="P401" s="18"/>
      <c r="Q401" s="18"/>
      <c r="R401" s="19"/>
      <c r="S401" s="19"/>
    </row>
    <row r="402">
      <c r="A402" s="13"/>
      <c r="B402" s="13"/>
      <c r="C402" s="17"/>
      <c r="D402" s="18"/>
      <c r="E402" s="18"/>
      <c r="F402" s="18"/>
      <c r="G402" s="18"/>
      <c r="H402" s="18"/>
      <c r="I402" s="18"/>
      <c r="J402" s="18"/>
      <c r="K402" s="18"/>
      <c r="L402" s="18"/>
      <c r="M402" s="18"/>
      <c r="N402" s="18"/>
      <c r="O402" s="18"/>
      <c r="P402" s="18"/>
      <c r="Q402" s="18"/>
      <c r="R402" s="19"/>
      <c r="S402" s="19"/>
    </row>
    <row r="403">
      <c r="A403" s="13"/>
      <c r="B403" s="13"/>
      <c r="C403" s="17"/>
      <c r="D403" s="18"/>
      <c r="E403" s="18"/>
      <c r="F403" s="18"/>
      <c r="G403" s="18"/>
      <c r="H403" s="18"/>
      <c r="I403" s="18"/>
      <c r="J403" s="18"/>
      <c r="K403" s="18"/>
      <c r="L403" s="18"/>
      <c r="M403" s="18"/>
      <c r="N403" s="18"/>
      <c r="O403" s="18"/>
      <c r="P403" s="18"/>
      <c r="Q403" s="18"/>
      <c r="R403" s="19"/>
      <c r="S403" s="19"/>
    </row>
    <row r="404">
      <c r="A404" s="13"/>
      <c r="B404" s="13"/>
      <c r="C404" s="17"/>
      <c r="D404" s="18"/>
      <c r="E404" s="18"/>
      <c r="F404" s="18"/>
      <c r="G404" s="18"/>
      <c r="H404" s="18"/>
      <c r="I404" s="18"/>
      <c r="J404" s="18"/>
      <c r="K404" s="18"/>
      <c r="L404" s="18"/>
      <c r="M404" s="18"/>
      <c r="N404" s="18"/>
      <c r="O404" s="18"/>
      <c r="P404" s="18"/>
      <c r="Q404" s="18"/>
      <c r="R404" s="19"/>
      <c r="S404" s="19"/>
    </row>
    <row r="405">
      <c r="A405" s="13"/>
      <c r="B405" s="13"/>
      <c r="C405" s="17"/>
      <c r="D405" s="18"/>
      <c r="E405" s="18"/>
      <c r="F405" s="18"/>
      <c r="G405" s="18"/>
      <c r="H405" s="18"/>
      <c r="I405" s="18"/>
      <c r="J405" s="18"/>
      <c r="K405" s="18"/>
      <c r="L405" s="18"/>
      <c r="M405" s="18"/>
      <c r="N405" s="18"/>
      <c r="O405" s="18"/>
      <c r="P405" s="18"/>
      <c r="Q405" s="18"/>
      <c r="R405" s="19"/>
      <c r="S405" s="19"/>
    </row>
    <row r="406">
      <c r="A406" s="13"/>
      <c r="B406" s="13"/>
      <c r="C406" s="17"/>
      <c r="D406" s="18"/>
      <c r="E406" s="18"/>
      <c r="F406" s="18"/>
      <c r="G406" s="18"/>
      <c r="H406" s="18"/>
      <c r="I406" s="18"/>
      <c r="J406" s="18"/>
      <c r="K406" s="18"/>
      <c r="L406" s="18"/>
      <c r="M406" s="18"/>
      <c r="N406" s="18"/>
      <c r="O406" s="18"/>
      <c r="P406" s="18"/>
      <c r="Q406" s="18"/>
      <c r="R406" s="19"/>
      <c r="S406" s="19"/>
    </row>
    <row r="407">
      <c r="A407" s="13"/>
      <c r="B407" s="13"/>
      <c r="C407" s="17"/>
      <c r="D407" s="18"/>
      <c r="E407" s="18"/>
      <c r="F407" s="18"/>
      <c r="G407" s="18"/>
      <c r="H407" s="18"/>
      <c r="I407" s="18"/>
      <c r="J407" s="18"/>
      <c r="K407" s="18"/>
      <c r="L407" s="18"/>
      <c r="M407" s="18"/>
      <c r="N407" s="18"/>
      <c r="O407" s="18"/>
      <c r="P407" s="18"/>
      <c r="Q407" s="18"/>
      <c r="R407" s="19"/>
      <c r="S407" s="19"/>
    </row>
    <row r="408">
      <c r="A408" s="13"/>
      <c r="B408" s="13"/>
      <c r="C408" s="17"/>
      <c r="D408" s="18"/>
      <c r="E408" s="18"/>
      <c r="F408" s="18"/>
      <c r="G408" s="18"/>
      <c r="H408" s="18"/>
      <c r="I408" s="18"/>
      <c r="J408" s="18"/>
      <c r="K408" s="18"/>
      <c r="L408" s="18"/>
      <c r="M408" s="18"/>
      <c r="N408" s="18"/>
      <c r="O408" s="18"/>
      <c r="P408" s="18"/>
      <c r="Q408" s="18"/>
      <c r="R408" s="19"/>
      <c r="S408" s="19"/>
    </row>
    <row r="409">
      <c r="A409" s="13"/>
      <c r="B409" s="13"/>
      <c r="C409" s="17"/>
      <c r="D409" s="18"/>
      <c r="E409" s="18"/>
      <c r="F409" s="18"/>
      <c r="G409" s="18"/>
      <c r="H409" s="18"/>
      <c r="I409" s="18"/>
      <c r="J409" s="18"/>
      <c r="K409" s="18"/>
      <c r="L409" s="18"/>
      <c r="M409" s="18"/>
      <c r="N409" s="18"/>
      <c r="O409" s="18"/>
      <c r="P409" s="18"/>
      <c r="Q409" s="18"/>
      <c r="R409" s="19"/>
      <c r="S409" s="19"/>
    </row>
    <row r="410">
      <c r="A410" s="13"/>
      <c r="B410" s="13"/>
      <c r="C410" s="17"/>
      <c r="D410" s="18"/>
      <c r="E410" s="18"/>
      <c r="F410" s="18"/>
      <c r="G410" s="18"/>
      <c r="H410" s="18"/>
      <c r="I410" s="18"/>
      <c r="J410" s="18"/>
      <c r="K410" s="18"/>
      <c r="L410" s="18"/>
      <c r="M410" s="18"/>
      <c r="N410" s="18"/>
      <c r="O410" s="18"/>
      <c r="P410" s="18"/>
      <c r="Q410" s="18"/>
      <c r="R410" s="19"/>
      <c r="S410" s="19"/>
    </row>
    <row r="411">
      <c r="A411" s="13"/>
      <c r="B411" s="13"/>
      <c r="C411" s="17"/>
      <c r="D411" s="18"/>
      <c r="E411" s="18"/>
      <c r="F411" s="18"/>
      <c r="G411" s="18"/>
      <c r="H411" s="18"/>
      <c r="I411" s="18"/>
      <c r="J411" s="18"/>
      <c r="K411" s="18"/>
      <c r="L411" s="18"/>
      <c r="M411" s="18"/>
      <c r="N411" s="18"/>
      <c r="O411" s="18"/>
      <c r="P411" s="18"/>
      <c r="Q411" s="18"/>
      <c r="R411" s="19"/>
      <c r="S411" s="19"/>
    </row>
    <row r="412">
      <c r="A412" s="13"/>
      <c r="B412" s="13"/>
      <c r="C412" s="17"/>
      <c r="D412" s="18"/>
      <c r="E412" s="18"/>
      <c r="F412" s="18"/>
      <c r="G412" s="18"/>
      <c r="H412" s="18"/>
      <c r="I412" s="18"/>
      <c r="J412" s="18"/>
      <c r="K412" s="18"/>
      <c r="L412" s="18"/>
      <c r="M412" s="18"/>
      <c r="N412" s="18"/>
      <c r="O412" s="18"/>
      <c r="P412" s="18"/>
      <c r="Q412" s="18"/>
      <c r="R412" s="19"/>
      <c r="S412" s="19"/>
    </row>
    <row r="413">
      <c r="A413" s="13"/>
      <c r="B413" s="13"/>
      <c r="C413" s="17"/>
      <c r="D413" s="18"/>
      <c r="E413" s="18"/>
      <c r="F413" s="18"/>
      <c r="G413" s="18"/>
      <c r="H413" s="18"/>
      <c r="I413" s="18"/>
      <c r="J413" s="18"/>
      <c r="K413" s="18"/>
      <c r="L413" s="18"/>
      <c r="M413" s="18"/>
      <c r="N413" s="18"/>
      <c r="O413" s="18"/>
      <c r="P413" s="18"/>
      <c r="Q413" s="18"/>
      <c r="R413" s="19"/>
      <c r="S413" s="19"/>
    </row>
    <row r="414">
      <c r="A414" s="13"/>
      <c r="B414" s="13"/>
      <c r="C414" s="17"/>
      <c r="D414" s="18"/>
      <c r="E414" s="18"/>
      <c r="F414" s="18"/>
      <c r="G414" s="18"/>
      <c r="H414" s="18"/>
      <c r="I414" s="18"/>
      <c r="J414" s="18"/>
      <c r="K414" s="18"/>
      <c r="L414" s="18"/>
      <c r="M414" s="18"/>
      <c r="N414" s="18"/>
      <c r="O414" s="18"/>
      <c r="P414" s="18"/>
      <c r="Q414" s="18"/>
      <c r="R414" s="19"/>
      <c r="S414" s="19"/>
    </row>
    <row r="415">
      <c r="A415" s="13"/>
      <c r="B415" s="13"/>
      <c r="C415" s="17"/>
      <c r="D415" s="18"/>
      <c r="E415" s="18"/>
      <c r="F415" s="18"/>
      <c r="G415" s="18"/>
      <c r="H415" s="18"/>
      <c r="I415" s="18"/>
      <c r="J415" s="18"/>
      <c r="K415" s="18"/>
      <c r="L415" s="18"/>
      <c r="M415" s="18"/>
      <c r="N415" s="18"/>
      <c r="O415" s="18"/>
      <c r="P415" s="18"/>
      <c r="Q415" s="18"/>
      <c r="R415" s="19"/>
      <c r="S415" s="19"/>
    </row>
    <row r="416">
      <c r="A416" s="13"/>
      <c r="B416" s="13"/>
      <c r="C416" s="17"/>
      <c r="D416" s="18"/>
      <c r="E416" s="18"/>
      <c r="F416" s="18"/>
      <c r="G416" s="18"/>
      <c r="H416" s="18"/>
      <c r="I416" s="18"/>
      <c r="J416" s="18"/>
      <c r="K416" s="18"/>
      <c r="L416" s="18"/>
      <c r="M416" s="18"/>
      <c r="N416" s="18"/>
      <c r="O416" s="18"/>
      <c r="P416" s="18"/>
      <c r="Q416" s="18"/>
      <c r="R416" s="19"/>
      <c r="S416" s="19"/>
    </row>
    <row r="417">
      <c r="A417" s="13"/>
      <c r="B417" s="13"/>
      <c r="C417" s="17"/>
      <c r="D417" s="18"/>
      <c r="E417" s="18"/>
      <c r="F417" s="18"/>
      <c r="G417" s="18"/>
      <c r="H417" s="18"/>
      <c r="I417" s="18"/>
      <c r="J417" s="18"/>
      <c r="K417" s="18"/>
      <c r="L417" s="18"/>
      <c r="M417" s="18"/>
      <c r="N417" s="18"/>
      <c r="O417" s="18"/>
      <c r="P417" s="18"/>
      <c r="Q417" s="18"/>
      <c r="R417" s="19"/>
      <c r="S417" s="19"/>
    </row>
    <row r="418">
      <c r="A418" s="13"/>
      <c r="B418" s="13"/>
      <c r="C418" s="17"/>
      <c r="D418" s="18"/>
      <c r="E418" s="18"/>
      <c r="F418" s="18"/>
      <c r="G418" s="18"/>
      <c r="H418" s="18"/>
      <c r="I418" s="18"/>
      <c r="J418" s="18"/>
      <c r="K418" s="18"/>
      <c r="L418" s="18"/>
      <c r="M418" s="18"/>
      <c r="N418" s="18"/>
      <c r="O418" s="18"/>
      <c r="P418" s="18"/>
      <c r="Q418" s="18"/>
      <c r="R418" s="19"/>
      <c r="S418" s="19"/>
    </row>
    <row r="419">
      <c r="A419" s="13"/>
      <c r="B419" s="13"/>
      <c r="C419" s="17"/>
      <c r="D419" s="18"/>
      <c r="E419" s="18"/>
      <c r="F419" s="18"/>
      <c r="G419" s="18"/>
      <c r="H419" s="18"/>
      <c r="I419" s="18"/>
      <c r="J419" s="18"/>
      <c r="K419" s="18"/>
      <c r="L419" s="18"/>
      <c r="M419" s="18"/>
      <c r="N419" s="18"/>
      <c r="O419" s="18"/>
      <c r="P419" s="18"/>
      <c r="Q419" s="18"/>
      <c r="R419" s="19"/>
      <c r="S419" s="19"/>
    </row>
    <row r="420">
      <c r="A420" s="13"/>
      <c r="B420" s="13"/>
      <c r="C420" s="17"/>
      <c r="D420" s="18"/>
      <c r="E420" s="18"/>
      <c r="F420" s="18"/>
      <c r="G420" s="18"/>
      <c r="H420" s="18"/>
      <c r="I420" s="18"/>
      <c r="J420" s="18"/>
      <c r="K420" s="18"/>
      <c r="L420" s="18"/>
      <c r="M420" s="18"/>
      <c r="N420" s="18"/>
      <c r="O420" s="18"/>
      <c r="P420" s="18"/>
      <c r="Q420" s="18"/>
      <c r="R420" s="19"/>
      <c r="S420" s="19"/>
    </row>
    <row r="421">
      <c r="A421" s="13"/>
      <c r="B421" s="13"/>
      <c r="C421" s="17"/>
      <c r="D421" s="18"/>
      <c r="E421" s="18"/>
      <c r="F421" s="18"/>
      <c r="G421" s="18"/>
      <c r="H421" s="18"/>
      <c r="I421" s="18"/>
      <c r="J421" s="18"/>
      <c r="K421" s="18"/>
      <c r="L421" s="18"/>
      <c r="M421" s="18"/>
      <c r="N421" s="18"/>
      <c r="O421" s="18"/>
      <c r="P421" s="18"/>
      <c r="Q421" s="18"/>
      <c r="R421" s="19"/>
      <c r="S421" s="19"/>
    </row>
    <row r="422">
      <c r="A422" s="13"/>
      <c r="B422" s="13"/>
      <c r="C422" s="17"/>
      <c r="D422" s="18"/>
      <c r="E422" s="18"/>
      <c r="F422" s="18"/>
      <c r="G422" s="18"/>
      <c r="H422" s="18"/>
      <c r="I422" s="18"/>
      <c r="J422" s="18"/>
      <c r="K422" s="18"/>
      <c r="L422" s="18"/>
      <c r="M422" s="18"/>
      <c r="N422" s="18"/>
      <c r="O422" s="18"/>
      <c r="P422" s="18"/>
      <c r="Q422" s="18"/>
      <c r="R422" s="19"/>
      <c r="S422" s="19"/>
    </row>
    <row r="423">
      <c r="A423" s="13"/>
      <c r="B423" s="13"/>
      <c r="C423" s="17"/>
      <c r="D423" s="18"/>
      <c r="E423" s="18"/>
      <c r="F423" s="18"/>
      <c r="G423" s="18"/>
      <c r="H423" s="18"/>
      <c r="I423" s="18"/>
      <c r="J423" s="18"/>
      <c r="K423" s="18"/>
      <c r="L423" s="18"/>
      <c r="M423" s="18"/>
      <c r="N423" s="18"/>
      <c r="O423" s="18"/>
      <c r="P423" s="18"/>
      <c r="Q423" s="18"/>
      <c r="R423" s="19"/>
      <c r="S423" s="19"/>
    </row>
    <row r="424">
      <c r="A424" s="13"/>
      <c r="B424" s="13"/>
      <c r="C424" s="17"/>
      <c r="D424" s="18"/>
      <c r="E424" s="18"/>
      <c r="F424" s="18"/>
      <c r="G424" s="18"/>
      <c r="H424" s="18"/>
      <c r="I424" s="18"/>
      <c r="J424" s="18"/>
      <c r="K424" s="18"/>
      <c r="L424" s="18"/>
      <c r="M424" s="18"/>
      <c r="N424" s="18"/>
      <c r="O424" s="18"/>
      <c r="P424" s="18"/>
      <c r="Q424" s="18"/>
      <c r="R424" s="19"/>
      <c r="S424" s="19"/>
    </row>
    <row r="425">
      <c r="A425" s="13"/>
      <c r="B425" s="13"/>
      <c r="C425" s="17"/>
      <c r="D425" s="18"/>
      <c r="E425" s="18"/>
      <c r="F425" s="18"/>
      <c r="G425" s="18"/>
      <c r="H425" s="18"/>
      <c r="I425" s="18"/>
      <c r="J425" s="18"/>
      <c r="K425" s="18"/>
      <c r="L425" s="18"/>
      <c r="M425" s="18"/>
      <c r="N425" s="18"/>
      <c r="O425" s="18"/>
      <c r="P425" s="18"/>
      <c r="Q425" s="18"/>
      <c r="R425" s="19"/>
      <c r="S425" s="19"/>
    </row>
    <row r="426">
      <c r="A426" s="13"/>
      <c r="B426" s="13"/>
      <c r="C426" s="17"/>
      <c r="D426" s="18"/>
      <c r="E426" s="18"/>
      <c r="F426" s="18"/>
      <c r="G426" s="18"/>
      <c r="H426" s="18"/>
      <c r="I426" s="18"/>
      <c r="J426" s="18"/>
      <c r="K426" s="18"/>
      <c r="L426" s="18"/>
      <c r="M426" s="18"/>
      <c r="N426" s="18"/>
      <c r="O426" s="18"/>
      <c r="P426" s="18"/>
      <c r="Q426" s="18"/>
      <c r="R426" s="19"/>
      <c r="S426" s="19"/>
    </row>
    <row r="427">
      <c r="A427" s="13"/>
      <c r="B427" s="13"/>
      <c r="C427" s="17"/>
      <c r="D427" s="18"/>
      <c r="E427" s="18"/>
      <c r="F427" s="18"/>
      <c r="G427" s="18"/>
      <c r="H427" s="18"/>
      <c r="I427" s="18"/>
      <c r="J427" s="18"/>
      <c r="K427" s="18"/>
      <c r="L427" s="18"/>
      <c r="M427" s="18"/>
      <c r="N427" s="18"/>
      <c r="O427" s="18"/>
      <c r="P427" s="18"/>
      <c r="Q427" s="18"/>
      <c r="R427" s="19"/>
      <c r="S427" s="19"/>
    </row>
    <row r="428">
      <c r="A428" s="13"/>
      <c r="B428" s="13"/>
      <c r="C428" s="17"/>
      <c r="D428" s="18"/>
      <c r="E428" s="18"/>
      <c r="F428" s="18"/>
      <c r="G428" s="18"/>
      <c r="H428" s="18"/>
      <c r="I428" s="18"/>
      <c r="J428" s="18"/>
      <c r="K428" s="18"/>
      <c r="L428" s="18"/>
      <c r="M428" s="18"/>
      <c r="N428" s="18"/>
      <c r="O428" s="18"/>
      <c r="P428" s="18"/>
      <c r="Q428" s="18"/>
      <c r="R428" s="19"/>
      <c r="S428" s="19"/>
    </row>
    <row r="429">
      <c r="A429" s="13"/>
      <c r="B429" s="13"/>
      <c r="C429" s="17"/>
      <c r="D429" s="18"/>
      <c r="E429" s="18"/>
      <c r="F429" s="18"/>
      <c r="G429" s="18"/>
      <c r="H429" s="18"/>
      <c r="I429" s="18"/>
      <c r="J429" s="18"/>
      <c r="K429" s="18"/>
      <c r="L429" s="18"/>
      <c r="M429" s="18"/>
      <c r="N429" s="18"/>
      <c r="O429" s="18"/>
      <c r="P429" s="18"/>
      <c r="Q429" s="18"/>
      <c r="R429" s="19"/>
      <c r="S429" s="19"/>
    </row>
    <row r="430">
      <c r="A430" s="13"/>
      <c r="B430" s="13"/>
      <c r="C430" s="17"/>
      <c r="D430" s="18"/>
      <c r="E430" s="18"/>
      <c r="F430" s="18"/>
      <c r="G430" s="18"/>
      <c r="H430" s="18"/>
      <c r="I430" s="18"/>
      <c r="J430" s="18"/>
      <c r="K430" s="18"/>
      <c r="L430" s="18"/>
      <c r="M430" s="18"/>
      <c r="N430" s="18"/>
      <c r="O430" s="18"/>
      <c r="P430" s="18"/>
      <c r="Q430" s="18"/>
      <c r="R430" s="19"/>
      <c r="S430" s="19"/>
    </row>
    <row r="431">
      <c r="A431" s="13"/>
      <c r="B431" s="13"/>
      <c r="C431" s="17"/>
      <c r="D431" s="18"/>
      <c r="E431" s="18"/>
      <c r="F431" s="18"/>
      <c r="G431" s="18"/>
      <c r="H431" s="18"/>
      <c r="I431" s="18"/>
      <c r="J431" s="18"/>
      <c r="K431" s="18"/>
      <c r="L431" s="18"/>
      <c r="M431" s="18"/>
      <c r="N431" s="18"/>
      <c r="O431" s="18"/>
      <c r="P431" s="18"/>
      <c r="Q431" s="18"/>
      <c r="R431" s="19"/>
      <c r="S431" s="19"/>
    </row>
    <row r="432">
      <c r="A432" s="13"/>
      <c r="B432" s="13"/>
      <c r="C432" s="17"/>
      <c r="D432" s="18"/>
      <c r="E432" s="18"/>
      <c r="F432" s="18"/>
      <c r="G432" s="18"/>
      <c r="H432" s="18"/>
      <c r="I432" s="18"/>
      <c r="J432" s="18"/>
      <c r="K432" s="18"/>
      <c r="L432" s="18"/>
      <c r="M432" s="18"/>
      <c r="N432" s="18"/>
      <c r="O432" s="18"/>
      <c r="P432" s="18"/>
      <c r="Q432" s="18"/>
      <c r="R432" s="19"/>
      <c r="S432" s="19"/>
    </row>
    <row r="433">
      <c r="A433" s="13"/>
      <c r="B433" s="13"/>
      <c r="C433" s="17"/>
      <c r="D433" s="18"/>
      <c r="E433" s="18"/>
      <c r="F433" s="18"/>
      <c r="G433" s="18"/>
      <c r="H433" s="18"/>
      <c r="I433" s="18"/>
      <c r="J433" s="18"/>
      <c r="K433" s="18"/>
      <c r="L433" s="18"/>
      <c r="M433" s="18"/>
      <c r="N433" s="18"/>
      <c r="O433" s="18"/>
      <c r="P433" s="18"/>
      <c r="Q433" s="18"/>
      <c r="R433" s="19"/>
      <c r="S433" s="19"/>
    </row>
    <row r="434">
      <c r="A434" s="13"/>
      <c r="B434" s="13"/>
      <c r="C434" s="17"/>
      <c r="D434" s="18"/>
      <c r="E434" s="18"/>
      <c r="F434" s="18"/>
      <c r="G434" s="18"/>
      <c r="H434" s="18"/>
      <c r="I434" s="18"/>
      <c r="J434" s="18"/>
      <c r="K434" s="18"/>
      <c r="L434" s="18"/>
      <c r="M434" s="18"/>
      <c r="N434" s="18"/>
      <c r="O434" s="18"/>
      <c r="P434" s="18"/>
      <c r="Q434" s="18"/>
      <c r="R434" s="19"/>
      <c r="S434" s="19"/>
    </row>
    <row r="435">
      <c r="A435" s="13"/>
      <c r="B435" s="13"/>
      <c r="C435" s="17"/>
      <c r="D435" s="18"/>
      <c r="E435" s="18"/>
      <c r="F435" s="18"/>
      <c r="G435" s="18"/>
      <c r="H435" s="18"/>
      <c r="I435" s="18"/>
      <c r="J435" s="18"/>
      <c r="K435" s="18"/>
      <c r="L435" s="18"/>
      <c r="M435" s="18"/>
      <c r="N435" s="18"/>
      <c r="O435" s="18"/>
      <c r="P435" s="18"/>
      <c r="Q435" s="18"/>
      <c r="R435" s="19"/>
      <c r="S435" s="19"/>
    </row>
    <row r="436">
      <c r="A436" s="13"/>
      <c r="B436" s="13"/>
      <c r="C436" s="17"/>
      <c r="D436" s="18"/>
      <c r="E436" s="18"/>
      <c r="F436" s="18"/>
      <c r="G436" s="18"/>
      <c r="H436" s="18"/>
      <c r="I436" s="18"/>
      <c r="J436" s="18"/>
      <c r="K436" s="18"/>
      <c r="L436" s="18"/>
      <c r="M436" s="18"/>
      <c r="N436" s="18"/>
      <c r="O436" s="18"/>
      <c r="P436" s="18"/>
      <c r="Q436" s="18"/>
      <c r="R436" s="19"/>
      <c r="S436" s="19"/>
    </row>
    <row r="437">
      <c r="A437" s="13"/>
      <c r="B437" s="13"/>
      <c r="C437" s="17"/>
      <c r="D437" s="18"/>
      <c r="E437" s="18"/>
      <c r="F437" s="18"/>
      <c r="G437" s="18"/>
      <c r="H437" s="18"/>
      <c r="I437" s="18"/>
      <c r="J437" s="18"/>
      <c r="K437" s="18"/>
      <c r="L437" s="18"/>
      <c r="M437" s="18"/>
      <c r="N437" s="18"/>
      <c r="O437" s="18"/>
      <c r="P437" s="18"/>
      <c r="Q437" s="18"/>
      <c r="R437" s="19"/>
      <c r="S437" s="19"/>
    </row>
    <row r="438">
      <c r="A438" s="13"/>
      <c r="B438" s="13"/>
      <c r="C438" s="17"/>
      <c r="D438" s="18"/>
      <c r="E438" s="18"/>
      <c r="F438" s="18"/>
      <c r="G438" s="18"/>
      <c r="H438" s="18"/>
      <c r="I438" s="18"/>
      <c r="J438" s="18"/>
      <c r="K438" s="18"/>
      <c r="L438" s="18"/>
      <c r="M438" s="18"/>
      <c r="N438" s="18"/>
      <c r="O438" s="18"/>
      <c r="P438" s="18"/>
      <c r="Q438" s="18"/>
      <c r="R438" s="19"/>
      <c r="S438" s="19"/>
    </row>
    <row r="439">
      <c r="A439" s="13"/>
      <c r="B439" s="13"/>
      <c r="C439" s="17"/>
      <c r="D439" s="18"/>
      <c r="E439" s="18"/>
      <c r="F439" s="18"/>
      <c r="G439" s="18"/>
      <c r="H439" s="18"/>
      <c r="I439" s="18"/>
      <c r="J439" s="18"/>
      <c r="K439" s="18"/>
      <c r="L439" s="18"/>
      <c r="M439" s="18"/>
      <c r="N439" s="18"/>
      <c r="O439" s="18"/>
      <c r="P439" s="18"/>
      <c r="Q439" s="18"/>
      <c r="R439" s="19"/>
      <c r="S439" s="19"/>
    </row>
    <row r="440">
      <c r="A440" s="13"/>
      <c r="B440" s="13"/>
      <c r="C440" s="17"/>
      <c r="D440" s="18"/>
      <c r="E440" s="18"/>
      <c r="F440" s="18"/>
      <c r="G440" s="18"/>
      <c r="H440" s="18"/>
      <c r="I440" s="18"/>
      <c r="J440" s="18"/>
      <c r="K440" s="18"/>
      <c r="L440" s="18"/>
      <c r="M440" s="18"/>
      <c r="N440" s="18"/>
      <c r="O440" s="18"/>
      <c r="P440" s="18"/>
      <c r="Q440" s="18"/>
      <c r="R440" s="19"/>
      <c r="S440" s="19"/>
    </row>
    <row r="441">
      <c r="A441" s="13"/>
      <c r="B441" s="13"/>
      <c r="C441" s="17"/>
      <c r="D441" s="18"/>
      <c r="E441" s="18"/>
      <c r="F441" s="18"/>
      <c r="G441" s="18"/>
      <c r="H441" s="18"/>
      <c r="I441" s="18"/>
      <c r="J441" s="18"/>
      <c r="K441" s="18"/>
      <c r="L441" s="18"/>
      <c r="M441" s="18"/>
      <c r="N441" s="18"/>
      <c r="O441" s="18"/>
      <c r="P441" s="18"/>
      <c r="Q441" s="18"/>
      <c r="R441" s="19"/>
      <c r="S441" s="19"/>
    </row>
    <row r="442">
      <c r="A442" s="13"/>
      <c r="B442" s="13"/>
      <c r="C442" s="17"/>
      <c r="D442" s="18"/>
      <c r="E442" s="18"/>
      <c r="F442" s="18"/>
      <c r="G442" s="18"/>
      <c r="H442" s="18"/>
      <c r="I442" s="18"/>
      <c r="J442" s="18"/>
      <c r="K442" s="18"/>
      <c r="L442" s="18"/>
      <c r="M442" s="18"/>
      <c r="N442" s="18"/>
      <c r="O442" s="18"/>
      <c r="P442" s="18"/>
      <c r="Q442" s="18"/>
      <c r="R442" s="19"/>
      <c r="S442" s="19"/>
    </row>
    <row r="443">
      <c r="A443" s="13"/>
      <c r="B443" s="13"/>
      <c r="C443" s="17"/>
      <c r="D443" s="18"/>
      <c r="E443" s="18"/>
      <c r="F443" s="18"/>
      <c r="G443" s="18"/>
      <c r="H443" s="18"/>
      <c r="I443" s="18"/>
      <c r="J443" s="18"/>
      <c r="K443" s="18"/>
      <c r="L443" s="18"/>
      <c r="M443" s="18"/>
      <c r="N443" s="18"/>
      <c r="O443" s="18"/>
      <c r="P443" s="18"/>
      <c r="Q443" s="18"/>
      <c r="R443" s="19"/>
      <c r="S443" s="19"/>
    </row>
    <row r="444">
      <c r="A444" s="13"/>
      <c r="B444" s="13"/>
      <c r="C444" s="17"/>
      <c r="D444" s="18"/>
      <c r="E444" s="18"/>
      <c r="F444" s="18"/>
      <c r="G444" s="18"/>
      <c r="H444" s="18"/>
      <c r="I444" s="18"/>
      <c r="J444" s="18"/>
      <c r="K444" s="18"/>
      <c r="L444" s="18"/>
      <c r="M444" s="18"/>
      <c r="N444" s="18"/>
      <c r="O444" s="18"/>
      <c r="P444" s="18"/>
      <c r="Q444" s="18"/>
      <c r="R444" s="19"/>
      <c r="S444" s="19"/>
    </row>
    <row r="445">
      <c r="A445" s="13"/>
      <c r="B445" s="13"/>
      <c r="C445" s="17"/>
      <c r="D445" s="18"/>
      <c r="E445" s="18"/>
      <c r="F445" s="18"/>
      <c r="G445" s="18"/>
      <c r="H445" s="18"/>
      <c r="I445" s="18"/>
      <c r="J445" s="18"/>
      <c r="K445" s="18"/>
      <c r="L445" s="18"/>
      <c r="M445" s="18"/>
      <c r="N445" s="18"/>
      <c r="O445" s="18"/>
      <c r="P445" s="18"/>
      <c r="Q445" s="18"/>
      <c r="R445" s="19"/>
      <c r="S445" s="19"/>
    </row>
    <row r="446">
      <c r="A446" s="13"/>
      <c r="B446" s="13"/>
      <c r="C446" s="17"/>
      <c r="D446" s="18"/>
      <c r="E446" s="18"/>
      <c r="F446" s="18"/>
      <c r="G446" s="18"/>
      <c r="H446" s="18"/>
      <c r="I446" s="18"/>
      <c r="J446" s="18"/>
      <c r="K446" s="18"/>
      <c r="L446" s="18"/>
      <c r="M446" s="18"/>
      <c r="N446" s="18"/>
      <c r="O446" s="18"/>
      <c r="P446" s="18"/>
      <c r="Q446" s="18"/>
      <c r="R446" s="19"/>
      <c r="S446" s="19"/>
    </row>
    <row r="447">
      <c r="A447" s="13"/>
      <c r="B447" s="13"/>
      <c r="C447" s="17"/>
      <c r="D447" s="18"/>
      <c r="E447" s="18"/>
      <c r="F447" s="18"/>
      <c r="G447" s="18"/>
      <c r="H447" s="18"/>
      <c r="I447" s="18"/>
      <c r="J447" s="18"/>
      <c r="K447" s="18"/>
      <c r="L447" s="18"/>
      <c r="M447" s="18"/>
      <c r="N447" s="18"/>
      <c r="O447" s="18"/>
      <c r="P447" s="18"/>
      <c r="Q447" s="18"/>
      <c r="R447" s="19"/>
      <c r="S447" s="19"/>
    </row>
    <row r="448">
      <c r="A448" s="13"/>
      <c r="B448" s="13"/>
      <c r="C448" s="17"/>
      <c r="D448" s="18"/>
      <c r="E448" s="18"/>
      <c r="F448" s="18"/>
      <c r="G448" s="18"/>
      <c r="H448" s="18"/>
      <c r="I448" s="18"/>
      <c r="J448" s="18"/>
      <c r="K448" s="18"/>
      <c r="L448" s="18"/>
      <c r="M448" s="18"/>
      <c r="N448" s="18"/>
      <c r="O448" s="18"/>
      <c r="P448" s="18"/>
      <c r="Q448" s="18"/>
      <c r="R448" s="19"/>
      <c r="S448" s="19"/>
    </row>
    <row r="449">
      <c r="A449" s="13"/>
      <c r="B449" s="13"/>
      <c r="C449" s="17"/>
      <c r="D449" s="18"/>
      <c r="E449" s="18"/>
      <c r="F449" s="18"/>
      <c r="G449" s="18"/>
      <c r="H449" s="18"/>
      <c r="I449" s="18"/>
      <c r="J449" s="18"/>
      <c r="K449" s="18"/>
      <c r="L449" s="18"/>
      <c r="M449" s="18"/>
      <c r="N449" s="18"/>
      <c r="O449" s="18"/>
      <c r="P449" s="18"/>
      <c r="Q449" s="18"/>
      <c r="R449" s="19"/>
      <c r="S449" s="19"/>
    </row>
    <row r="450">
      <c r="A450" s="13"/>
      <c r="B450" s="13"/>
      <c r="C450" s="17"/>
      <c r="D450" s="18"/>
      <c r="E450" s="18"/>
      <c r="F450" s="18"/>
      <c r="G450" s="18"/>
      <c r="H450" s="18"/>
      <c r="I450" s="18"/>
      <c r="J450" s="18"/>
      <c r="K450" s="18"/>
      <c r="L450" s="18"/>
      <c r="M450" s="18"/>
      <c r="N450" s="18"/>
      <c r="O450" s="18"/>
      <c r="P450" s="18"/>
      <c r="Q450" s="18"/>
      <c r="R450" s="19"/>
      <c r="S450" s="19"/>
    </row>
    <row r="451">
      <c r="A451" s="13"/>
      <c r="B451" s="13"/>
      <c r="C451" s="17"/>
      <c r="D451" s="18"/>
      <c r="E451" s="18"/>
      <c r="F451" s="18"/>
      <c r="G451" s="18"/>
      <c r="H451" s="18"/>
      <c r="I451" s="18"/>
      <c r="J451" s="18"/>
      <c r="K451" s="18"/>
      <c r="L451" s="18"/>
      <c r="M451" s="18"/>
      <c r="N451" s="18"/>
      <c r="O451" s="18"/>
      <c r="P451" s="18"/>
      <c r="Q451" s="18"/>
      <c r="R451" s="19"/>
      <c r="S451" s="19"/>
    </row>
    <row r="452">
      <c r="A452" s="13"/>
      <c r="B452" s="13"/>
      <c r="C452" s="17"/>
      <c r="D452" s="18"/>
      <c r="E452" s="18"/>
      <c r="F452" s="18"/>
      <c r="G452" s="18"/>
      <c r="H452" s="18"/>
      <c r="I452" s="18"/>
      <c r="J452" s="18"/>
      <c r="K452" s="18"/>
      <c r="L452" s="18"/>
      <c r="M452" s="18"/>
      <c r="N452" s="18"/>
      <c r="O452" s="18"/>
      <c r="P452" s="18"/>
      <c r="Q452" s="18"/>
      <c r="R452" s="19"/>
      <c r="S452" s="19"/>
    </row>
    <row r="453">
      <c r="A453" s="13"/>
      <c r="B453" s="13"/>
      <c r="C453" s="17"/>
      <c r="D453" s="18"/>
      <c r="E453" s="18"/>
      <c r="F453" s="18"/>
      <c r="G453" s="18"/>
      <c r="H453" s="18"/>
      <c r="I453" s="18"/>
      <c r="J453" s="18"/>
      <c r="K453" s="18"/>
      <c r="L453" s="18"/>
      <c r="M453" s="18"/>
      <c r="N453" s="18"/>
      <c r="O453" s="18"/>
      <c r="P453" s="18"/>
      <c r="Q453" s="18"/>
      <c r="R453" s="19"/>
      <c r="S453" s="19"/>
    </row>
    <row r="454">
      <c r="A454" s="13"/>
      <c r="B454" s="13"/>
      <c r="C454" s="17"/>
      <c r="D454" s="18"/>
      <c r="E454" s="18"/>
      <c r="F454" s="18"/>
      <c r="G454" s="18"/>
      <c r="H454" s="18"/>
      <c r="I454" s="18"/>
      <c r="J454" s="18"/>
      <c r="K454" s="18"/>
      <c r="L454" s="18"/>
      <c r="M454" s="18"/>
      <c r="N454" s="18"/>
      <c r="O454" s="18"/>
      <c r="P454" s="18"/>
      <c r="Q454" s="18"/>
      <c r="R454" s="19"/>
      <c r="S454" s="19"/>
    </row>
    <row r="455">
      <c r="A455" s="13"/>
      <c r="B455" s="13"/>
      <c r="C455" s="17"/>
      <c r="D455" s="18"/>
      <c r="E455" s="18"/>
      <c r="F455" s="18"/>
      <c r="G455" s="18"/>
      <c r="H455" s="18"/>
      <c r="I455" s="18"/>
      <c r="J455" s="18"/>
      <c r="K455" s="18"/>
      <c r="L455" s="18"/>
      <c r="M455" s="18"/>
      <c r="N455" s="18"/>
      <c r="O455" s="18"/>
      <c r="P455" s="18"/>
      <c r="Q455" s="18"/>
      <c r="R455" s="19"/>
      <c r="S455" s="19"/>
    </row>
    <row r="456">
      <c r="A456" s="13"/>
      <c r="B456" s="13"/>
      <c r="C456" s="17"/>
      <c r="D456" s="18"/>
      <c r="E456" s="18"/>
      <c r="F456" s="18"/>
      <c r="G456" s="18"/>
      <c r="H456" s="18"/>
      <c r="I456" s="18"/>
      <c r="J456" s="18"/>
      <c r="K456" s="18"/>
      <c r="L456" s="18"/>
      <c r="M456" s="18"/>
      <c r="N456" s="18"/>
      <c r="O456" s="18"/>
      <c r="P456" s="18"/>
      <c r="Q456" s="18"/>
      <c r="R456" s="19"/>
      <c r="S456" s="19"/>
    </row>
    <row r="457">
      <c r="A457" s="13"/>
      <c r="B457" s="13"/>
      <c r="C457" s="17"/>
      <c r="D457" s="18"/>
      <c r="E457" s="18"/>
      <c r="F457" s="18"/>
      <c r="G457" s="18"/>
      <c r="H457" s="18"/>
      <c r="I457" s="18"/>
      <c r="J457" s="18"/>
      <c r="K457" s="18"/>
      <c r="L457" s="18"/>
      <c r="M457" s="18"/>
      <c r="N457" s="18"/>
      <c r="O457" s="18"/>
      <c r="P457" s="18"/>
      <c r="Q457" s="18"/>
      <c r="R457" s="19"/>
      <c r="S457" s="19"/>
    </row>
    <row r="458">
      <c r="A458" s="13"/>
      <c r="B458" s="13"/>
      <c r="C458" s="17"/>
      <c r="D458" s="18"/>
      <c r="E458" s="18"/>
      <c r="F458" s="18"/>
      <c r="G458" s="18"/>
      <c r="H458" s="18"/>
      <c r="I458" s="18"/>
      <c r="J458" s="18"/>
      <c r="K458" s="18"/>
      <c r="L458" s="18"/>
      <c r="M458" s="18"/>
      <c r="N458" s="18"/>
      <c r="O458" s="18"/>
      <c r="P458" s="18"/>
      <c r="Q458" s="18"/>
      <c r="R458" s="19"/>
      <c r="S458" s="19"/>
    </row>
    <row r="459">
      <c r="A459" s="13"/>
      <c r="B459" s="13"/>
      <c r="C459" s="17"/>
      <c r="D459" s="18"/>
      <c r="E459" s="18"/>
      <c r="F459" s="18"/>
      <c r="G459" s="18"/>
      <c r="H459" s="18"/>
      <c r="I459" s="18"/>
      <c r="J459" s="18"/>
      <c r="K459" s="18"/>
      <c r="L459" s="18"/>
      <c r="M459" s="18"/>
      <c r="N459" s="18"/>
      <c r="O459" s="18"/>
      <c r="P459" s="18"/>
      <c r="Q459" s="18"/>
      <c r="R459" s="19"/>
      <c r="S459" s="19"/>
    </row>
    <row r="460">
      <c r="A460" s="13"/>
      <c r="B460" s="13"/>
      <c r="C460" s="17"/>
      <c r="D460" s="18"/>
      <c r="E460" s="18"/>
      <c r="F460" s="18"/>
      <c r="G460" s="18"/>
      <c r="H460" s="18"/>
      <c r="I460" s="18"/>
      <c r="J460" s="18"/>
      <c r="K460" s="18"/>
      <c r="L460" s="18"/>
      <c r="M460" s="18"/>
      <c r="N460" s="18"/>
      <c r="O460" s="18"/>
      <c r="P460" s="18"/>
      <c r="Q460" s="18"/>
      <c r="R460" s="19"/>
      <c r="S460" s="19"/>
    </row>
    <row r="461">
      <c r="A461" s="13"/>
      <c r="B461" s="13"/>
      <c r="C461" s="17"/>
      <c r="D461" s="18"/>
      <c r="E461" s="18"/>
      <c r="F461" s="18"/>
      <c r="G461" s="18"/>
      <c r="H461" s="18"/>
      <c r="I461" s="18"/>
      <c r="J461" s="18"/>
      <c r="K461" s="18"/>
      <c r="L461" s="18"/>
      <c r="M461" s="18"/>
      <c r="N461" s="18"/>
      <c r="O461" s="18"/>
      <c r="P461" s="18"/>
      <c r="Q461" s="18"/>
      <c r="R461" s="19"/>
      <c r="S461" s="19"/>
    </row>
    <row r="462">
      <c r="A462" s="13"/>
      <c r="B462" s="13"/>
      <c r="C462" s="17"/>
      <c r="D462" s="18"/>
      <c r="E462" s="18"/>
      <c r="F462" s="18"/>
      <c r="G462" s="18"/>
      <c r="H462" s="18"/>
      <c r="I462" s="18"/>
      <c r="J462" s="18"/>
      <c r="K462" s="18"/>
      <c r="L462" s="18"/>
      <c r="M462" s="18"/>
      <c r="N462" s="18"/>
      <c r="O462" s="18"/>
      <c r="P462" s="18"/>
      <c r="Q462" s="18"/>
      <c r="R462" s="19"/>
      <c r="S462" s="19"/>
    </row>
    <row r="463">
      <c r="A463" s="13"/>
      <c r="B463" s="13"/>
      <c r="C463" s="17"/>
      <c r="D463" s="18"/>
      <c r="E463" s="18"/>
      <c r="F463" s="18"/>
      <c r="G463" s="18"/>
      <c r="H463" s="18"/>
      <c r="I463" s="18"/>
      <c r="J463" s="18"/>
      <c r="K463" s="18"/>
      <c r="L463" s="18"/>
      <c r="M463" s="18"/>
      <c r="N463" s="18"/>
      <c r="O463" s="18"/>
      <c r="P463" s="18"/>
      <c r="Q463" s="18"/>
      <c r="R463" s="19"/>
      <c r="S463" s="19"/>
    </row>
    <row r="464">
      <c r="A464" s="13"/>
      <c r="B464" s="13"/>
      <c r="C464" s="17"/>
      <c r="D464" s="18"/>
      <c r="E464" s="18"/>
      <c r="F464" s="18"/>
      <c r="G464" s="18"/>
      <c r="H464" s="18"/>
      <c r="I464" s="18"/>
      <c r="J464" s="18"/>
      <c r="K464" s="18"/>
      <c r="L464" s="18"/>
      <c r="M464" s="18"/>
      <c r="N464" s="18"/>
      <c r="O464" s="18"/>
      <c r="P464" s="18"/>
      <c r="Q464" s="18"/>
      <c r="R464" s="19"/>
      <c r="S464" s="19"/>
    </row>
    <row r="465">
      <c r="A465" s="13"/>
      <c r="B465" s="13"/>
      <c r="C465" s="17"/>
      <c r="D465" s="18"/>
      <c r="E465" s="18"/>
      <c r="F465" s="18"/>
      <c r="G465" s="18"/>
      <c r="H465" s="18"/>
      <c r="I465" s="18"/>
      <c r="J465" s="18"/>
      <c r="K465" s="18"/>
      <c r="L465" s="18"/>
      <c r="M465" s="18"/>
      <c r="N465" s="18"/>
      <c r="O465" s="18"/>
      <c r="P465" s="18"/>
      <c r="Q465" s="18"/>
      <c r="R465" s="19"/>
      <c r="S465" s="19"/>
    </row>
    <row r="466">
      <c r="A466" s="13"/>
      <c r="B466" s="13"/>
      <c r="C466" s="17"/>
      <c r="D466" s="18"/>
      <c r="E466" s="18"/>
      <c r="F466" s="18"/>
      <c r="G466" s="18"/>
      <c r="H466" s="18"/>
      <c r="I466" s="18"/>
      <c r="J466" s="18"/>
      <c r="K466" s="18"/>
      <c r="L466" s="18"/>
      <c r="M466" s="18"/>
      <c r="N466" s="18"/>
      <c r="O466" s="18"/>
      <c r="P466" s="18"/>
      <c r="Q466" s="18"/>
      <c r="R466" s="19"/>
      <c r="S466" s="19"/>
    </row>
    <row r="467">
      <c r="A467" s="13"/>
      <c r="B467" s="13"/>
      <c r="C467" s="17"/>
      <c r="D467" s="18"/>
      <c r="E467" s="18"/>
      <c r="F467" s="18"/>
      <c r="G467" s="18"/>
      <c r="H467" s="18"/>
      <c r="I467" s="18"/>
      <c r="J467" s="18"/>
      <c r="K467" s="18"/>
      <c r="L467" s="18"/>
      <c r="M467" s="18"/>
      <c r="N467" s="18"/>
      <c r="O467" s="18"/>
      <c r="P467" s="18"/>
      <c r="Q467" s="18"/>
      <c r="R467" s="19"/>
      <c r="S467" s="19"/>
    </row>
    <row r="468">
      <c r="A468" s="13"/>
      <c r="B468" s="13"/>
      <c r="C468" s="17"/>
      <c r="D468" s="18"/>
      <c r="E468" s="18"/>
      <c r="F468" s="18"/>
      <c r="G468" s="18"/>
      <c r="H468" s="18"/>
      <c r="I468" s="18"/>
      <c r="J468" s="18"/>
      <c r="K468" s="18"/>
      <c r="L468" s="18"/>
      <c r="M468" s="18"/>
      <c r="N468" s="18"/>
      <c r="O468" s="18"/>
      <c r="P468" s="18"/>
      <c r="Q468" s="18"/>
      <c r="R468" s="19"/>
      <c r="S468" s="19"/>
    </row>
    <row r="469">
      <c r="A469" s="13"/>
      <c r="B469" s="13"/>
      <c r="C469" s="17"/>
      <c r="D469" s="18"/>
      <c r="E469" s="18"/>
      <c r="F469" s="18"/>
      <c r="G469" s="18"/>
      <c r="H469" s="18"/>
      <c r="I469" s="18"/>
      <c r="J469" s="18"/>
      <c r="K469" s="18"/>
      <c r="L469" s="18"/>
      <c r="M469" s="18"/>
      <c r="N469" s="18"/>
      <c r="O469" s="18"/>
      <c r="P469" s="18"/>
      <c r="Q469" s="18"/>
      <c r="R469" s="19"/>
      <c r="S469" s="19"/>
    </row>
    <row r="470">
      <c r="A470" s="13"/>
      <c r="B470" s="13"/>
      <c r="C470" s="17"/>
      <c r="D470" s="18"/>
      <c r="E470" s="18"/>
      <c r="F470" s="18"/>
      <c r="G470" s="18"/>
      <c r="H470" s="18"/>
      <c r="I470" s="18"/>
      <c r="J470" s="18"/>
      <c r="K470" s="18"/>
      <c r="L470" s="18"/>
      <c r="M470" s="18"/>
      <c r="N470" s="18"/>
      <c r="O470" s="18"/>
      <c r="P470" s="18"/>
      <c r="Q470" s="18"/>
      <c r="R470" s="19"/>
      <c r="S470" s="19"/>
    </row>
    <row r="471">
      <c r="A471" s="13"/>
      <c r="B471" s="13"/>
      <c r="C471" s="17"/>
      <c r="D471" s="18"/>
      <c r="E471" s="18"/>
      <c r="F471" s="18"/>
      <c r="G471" s="18"/>
      <c r="H471" s="18"/>
      <c r="I471" s="18"/>
      <c r="J471" s="18"/>
      <c r="K471" s="18"/>
      <c r="L471" s="18"/>
      <c r="M471" s="18"/>
      <c r="N471" s="18"/>
      <c r="O471" s="18"/>
      <c r="P471" s="18"/>
      <c r="Q471" s="18"/>
      <c r="R471" s="19"/>
      <c r="S471" s="19"/>
    </row>
    <row r="472">
      <c r="A472" s="13"/>
      <c r="B472" s="13"/>
      <c r="C472" s="17"/>
      <c r="D472" s="18"/>
      <c r="E472" s="18"/>
      <c r="F472" s="18"/>
      <c r="G472" s="18"/>
      <c r="H472" s="18"/>
      <c r="I472" s="18"/>
      <c r="J472" s="18"/>
      <c r="K472" s="18"/>
      <c r="L472" s="18"/>
      <c r="M472" s="18"/>
      <c r="N472" s="18"/>
      <c r="O472" s="18"/>
      <c r="P472" s="18"/>
      <c r="Q472" s="18"/>
      <c r="R472" s="19"/>
      <c r="S472" s="19"/>
    </row>
    <row r="473">
      <c r="A473" s="13"/>
      <c r="B473" s="13"/>
      <c r="C473" s="17"/>
      <c r="D473" s="18"/>
      <c r="E473" s="18"/>
      <c r="F473" s="18"/>
      <c r="G473" s="18"/>
      <c r="H473" s="18"/>
      <c r="I473" s="18"/>
      <c r="J473" s="18"/>
      <c r="K473" s="18"/>
      <c r="L473" s="18"/>
      <c r="M473" s="18"/>
      <c r="N473" s="18"/>
      <c r="O473" s="18"/>
      <c r="P473" s="18"/>
      <c r="Q473" s="18"/>
      <c r="R473" s="19"/>
      <c r="S473" s="19"/>
    </row>
    <row r="474">
      <c r="A474" s="13"/>
      <c r="B474" s="13"/>
      <c r="C474" s="17"/>
      <c r="D474" s="18"/>
      <c r="E474" s="18"/>
      <c r="F474" s="18"/>
      <c r="G474" s="18"/>
      <c r="H474" s="18"/>
      <c r="I474" s="18"/>
      <c r="J474" s="18"/>
      <c r="K474" s="18"/>
      <c r="L474" s="18"/>
      <c r="M474" s="18"/>
      <c r="N474" s="18"/>
      <c r="O474" s="18"/>
      <c r="P474" s="18"/>
      <c r="Q474" s="18"/>
      <c r="R474" s="19"/>
      <c r="S474" s="19"/>
    </row>
    <row r="475">
      <c r="A475" s="13"/>
      <c r="B475" s="13"/>
      <c r="C475" s="17"/>
      <c r="D475" s="18"/>
      <c r="E475" s="18"/>
      <c r="F475" s="18"/>
      <c r="G475" s="18"/>
      <c r="H475" s="18"/>
      <c r="I475" s="18"/>
      <c r="J475" s="18"/>
      <c r="K475" s="18"/>
      <c r="L475" s="18"/>
      <c r="M475" s="18"/>
      <c r="N475" s="18"/>
      <c r="O475" s="18"/>
      <c r="P475" s="18"/>
      <c r="Q475" s="18"/>
      <c r="R475" s="19"/>
      <c r="S475" s="19"/>
    </row>
    <row r="476">
      <c r="A476" s="13"/>
      <c r="B476" s="13"/>
      <c r="C476" s="17"/>
      <c r="D476" s="18"/>
      <c r="E476" s="18"/>
      <c r="F476" s="18"/>
      <c r="G476" s="18"/>
      <c r="H476" s="18"/>
      <c r="I476" s="18"/>
      <c r="J476" s="18"/>
      <c r="K476" s="18"/>
      <c r="L476" s="18"/>
      <c r="M476" s="18"/>
      <c r="N476" s="18"/>
      <c r="O476" s="18"/>
      <c r="P476" s="18"/>
      <c r="Q476" s="18"/>
      <c r="R476" s="19"/>
      <c r="S476" s="19"/>
    </row>
    <row r="477">
      <c r="A477" s="13"/>
      <c r="B477" s="13"/>
      <c r="C477" s="17"/>
      <c r="D477" s="18"/>
      <c r="E477" s="18"/>
      <c r="F477" s="18"/>
      <c r="G477" s="18"/>
      <c r="H477" s="18"/>
      <c r="I477" s="18"/>
      <c r="J477" s="18"/>
      <c r="K477" s="18"/>
      <c r="L477" s="18"/>
      <c r="M477" s="18"/>
      <c r="N477" s="18"/>
      <c r="O477" s="18"/>
      <c r="P477" s="18"/>
      <c r="Q477" s="18"/>
      <c r="R477" s="19"/>
      <c r="S477" s="19"/>
    </row>
    <row r="478">
      <c r="A478" s="13"/>
      <c r="B478" s="13"/>
      <c r="C478" s="17"/>
      <c r="D478" s="18"/>
      <c r="E478" s="18"/>
      <c r="F478" s="18"/>
      <c r="G478" s="18"/>
      <c r="H478" s="18"/>
      <c r="I478" s="18"/>
      <c r="J478" s="18"/>
      <c r="K478" s="18"/>
      <c r="L478" s="18"/>
      <c r="M478" s="18"/>
      <c r="N478" s="18"/>
      <c r="O478" s="18"/>
      <c r="P478" s="18"/>
      <c r="Q478" s="18"/>
      <c r="R478" s="19"/>
      <c r="S478" s="19"/>
    </row>
    <row r="479">
      <c r="A479" s="13"/>
      <c r="B479" s="13"/>
      <c r="C479" s="17"/>
      <c r="D479" s="18"/>
      <c r="E479" s="18"/>
      <c r="F479" s="18"/>
      <c r="G479" s="18"/>
      <c r="H479" s="18"/>
      <c r="I479" s="18"/>
      <c r="J479" s="18"/>
      <c r="K479" s="18"/>
      <c r="L479" s="18"/>
      <c r="M479" s="18"/>
      <c r="N479" s="18"/>
      <c r="O479" s="18"/>
      <c r="P479" s="18"/>
      <c r="Q479" s="18"/>
      <c r="R479" s="19"/>
      <c r="S479" s="19"/>
    </row>
    <row r="480">
      <c r="A480" s="13"/>
      <c r="B480" s="13"/>
      <c r="C480" s="17"/>
      <c r="D480" s="18"/>
      <c r="E480" s="18"/>
      <c r="F480" s="18"/>
      <c r="G480" s="18"/>
      <c r="H480" s="18"/>
      <c r="I480" s="18"/>
      <c r="J480" s="18"/>
      <c r="K480" s="18"/>
      <c r="L480" s="18"/>
      <c r="M480" s="18"/>
      <c r="N480" s="18"/>
      <c r="O480" s="18"/>
      <c r="P480" s="18"/>
      <c r="Q480" s="18"/>
      <c r="R480" s="19"/>
      <c r="S480" s="19"/>
    </row>
    <row r="481">
      <c r="A481" s="13"/>
      <c r="B481" s="13"/>
      <c r="C481" s="17"/>
      <c r="D481" s="18"/>
      <c r="E481" s="18"/>
      <c r="F481" s="18"/>
      <c r="G481" s="18"/>
      <c r="H481" s="18"/>
      <c r="I481" s="18"/>
      <c r="J481" s="18"/>
      <c r="K481" s="18"/>
      <c r="L481" s="18"/>
      <c r="M481" s="18"/>
      <c r="N481" s="18"/>
      <c r="O481" s="18"/>
      <c r="P481" s="18"/>
      <c r="Q481" s="18"/>
      <c r="R481" s="19"/>
      <c r="S481" s="19"/>
    </row>
    <row r="482">
      <c r="A482" s="13"/>
      <c r="B482" s="13"/>
      <c r="C482" s="17"/>
      <c r="D482" s="18"/>
      <c r="E482" s="18"/>
      <c r="F482" s="18"/>
      <c r="G482" s="18"/>
      <c r="H482" s="18"/>
      <c r="I482" s="18"/>
      <c r="J482" s="18"/>
      <c r="K482" s="18"/>
      <c r="L482" s="18"/>
      <c r="M482" s="18"/>
      <c r="N482" s="18"/>
      <c r="O482" s="18"/>
      <c r="P482" s="18"/>
      <c r="Q482" s="18"/>
      <c r="R482" s="19"/>
      <c r="S482" s="19"/>
    </row>
    <row r="483">
      <c r="A483" s="13"/>
      <c r="B483" s="13"/>
      <c r="C483" s="17"/>
      <c r="D483" s="18"/>
      <c r="E483" s="18"/>
      <c r="F483" s="18"/>
      <c r="G483" s="18"/>
      <c r="H483" s="18"/>
      <c r="I483" s="18"/>
      <c r="J483" s="18"/>
      <c r="K483" s="18"/>
      <c r="L483" s="18"/>
      <c r="M483" s="18"/>
      <c r="N483" s="18"/>
      <c r="O483" s="18"/>
      <c r="P483" s="18"/>
      <c r="Q483" s="18"/>
      <c r="R483" s="19"/>
      <c r="S483" s="19"/>
    </row>
    <row r="484">
      <c r="A484" s="13"/>
      <c r="B484" s="13"/>
      <c r="C484" s="17"/>
      <c r="D484" s="18"/>
      <c r="E484" s="18"/>
      <c r="F484" s="18"/>
      <c r="G484" s="18"/>
      <c r="H484" s="18"/>
      <c r="I484" s="18"/>
      <c r="J484" s="18"/>
      <c r="K484" s="18"/>
      <c r="L484" s="18"/>
      <c r="M484" s="18"/>
      <c r="N484" s="18"/>
      <c r="O484" s="18"/>
      <c r="P484" s="18"/>
      <c r="Q484" s="18"/>
      <c r="R484" s="19"/>
      <c r="S484" s="19"/>
    </row>
    <row r="485">
      <c r="A485" s="13"/>
      <c r="B485" s="13"/>
      <c r="C485" s="17"/>
      <c r="D485" s="18"/>
      <c r="E485" s="18"/>
      <c r="F485" s="18"/>
      <c r="G485" s="18"/>
      <c r="H485" s="18"/>
      <c r="I485" s="18"/>
      <c r="J485" s="18"/>
      <c r="K485" s="18"/>
      <c r="L485" s="18"/>
      <c r="M485" s="18"/>
      <c r="N485" s="18"/>
      <c r="O485" s="18"/>
      <c r="P485" s="18"/>
      <c r="Q485" s="18"/>
      <c r="R485" s="19"/>
      <c r="S485" s="19"/>
    </row>
    <row r="486">
      <c r="A486" s="13"/>
      <c r="B486" s="13"/>
      <c r="C486" s="17"/>
      <c r="D486" s="18"/>
      <c r="E486" s="18"/>
      <c r="F486" s="18"/>
      <c r="G486" s="18"/>
      <c r="H486" s="18"/>
      <c r="I486" s="18"/>
      <c r="J486" s="18"/>
      <c r="K486" s="18"/>
      <c r="L486" s="18"/>
      <c r="M486" s="18"/>
      <c r="N486" s="18"/>
      <c r="O486" s="18"/>
      <c r="P486" s="18"/>
      <c r="Q486" s="18"/>
      <c r="R486" s="19"/>
      <c r="S486" s="19"/>
    </row>
    <row r="487">
      <c r="A487" s="13"/>
      <c r="B487" s="13"/>
      <c r="C487" s="17"/>
      <c r="D487" s="18"/>
      <c r="E487" s="18"/>
      <c r="F487" s="18"/>
      <c r="G487" s="18"/>
      <c r="H487" s="18"/>
      <c r="I487" s="18"/>
      <c r="J487" s="18"/>
      <c r="K487" s="18"/>
      <c r="L487" s="18"/>
      <c r="M487" s="18"/>
      <c r="N487" s="18"/>
      <c r="O487" s="18"/>
      <c r="P487" s="18"/>
      <c r="Q487" s="18"/>
      <c r="R487" s="19"/>
      <c r="S487" s="19"/>
    </row>
    <row r="488">
      <c r="A488" s="13"/>
      <c r="B488" s="13"/>
      <c r="C488" s="17"/>
      <c r="D488" s="18"/>
      <c r="E488" s="18"/>
      <c r="F488" s="18"/>
      <c r="G488" s="18"/>
      <c r="H488" s="18"/>
      <c r="I488" s="18"/>
      <c r="J488" s="18"/>
      <c r="K488" s="18"/>
      <c r="L488" s="18"/>
      <c r="M488" s="18"/>
      <c r="N488" s="18"/>
      <c r="O488" s="18"/>
      <c r="P488" s="18"/>
      <c r="Q488" s="18"/>
      <c r="R488" s="19"/>
      <c r="S488" s="19"/>
    </row>
    <row r="489">
      <c r="A489" s="13"/>
      <c r="B489" s="13"/>
      <c r="C489" s="17"/>
      <c r="D489" s="18"/>
      <c r="E489" s="18"/>
      <c r="F489" s="18"/>
      <c r="G489" s="18"/>
      <c r="H489" s="18"/>
      <c r="I489" s="18"/>
      <c r="J489" s="18"/>
      <c r="K489" s="18"/>
      <c r="L489" s="18"/>
      <c r="M489" s="18"/>
      <c r="N489" s="18"/>
      <c r="O489" s="18"/>
      <c r="P489" s="18"/>
      <c r="Q489" s="18"/>
      <c r="R489" s="19"/>
      <c r="S489" s="19"/>
    </row>
    <row r="490">
      <c r="A490" s="13"/>
      <c r="B490" s="13"/>
      <c r="C490" s="17"/>
      <c r="D490" s="18"/>
      <c r="E490" s="18"/>
      <c r="F490" s="18"/>
      <c r="G490" s="18"/>
      <c r="H490" s="18"/>
      <c r="I490" s="18"/>
      <c r="J490" s="18"/>
      <c r="K490" s="18"/>
      <c r="L490" s="18"/>
      <c r="M490" s="18"/>
      <c r="N490" s="18"/>
      <c r="O490" s="18"/>
      <c r="P490" s="18"/>
      <c r="Q490" s="18"/>
      <c r="R490" s="19"/>
      <c r="S490" s="19"/>
    </row>
    <row r="491">
      <c r="A491" s="13"/>
      <c r="B491" s="13"/>
      <c r="C491" s="17"/>
      <c r="D491" s="18"/>
      <c r="E491" s="18"/>
      <c r="F491" s="18"/>
      <c r="G491" s="18"/>
      <c r="H491" s="18"/>
      <c r="I491" s="18"/>
      <c r="J491" s="18"/>
      <c r="K491" s="18"/>
      <c r="L491" s="18"/>
      <c r="M491" s="18"/>
      <c r="N491" s="18"/>
      <c r="O491" s="18"/>
      <c r="P491" s="18"/>
      <c r="Q491" s="18"/>
      <c r="R491" s="19"/>
      <c r="S491" s="19"/>
    </row>
    <row r="492">
      <c r="A492" s="13"/>
      <c r="B492" s="13"/>
      <c r="C492" s="17"/>
      <c r="D492" s="18"/>
      <c r="E492" s="18"/>
      <c r="F492" s="18"/>
      <c r="G492" s="18"/>
      <c r="H492" s="18"/>
      <c r="I492" s="18"/>
      <c r="J492" s="18"/>
      <c r="K492" s="18"/>
      <c r="L492" s="18"/>
      <c r="M492" s="18"/>
      <c r="N492" s="18"/>
      <c r="O492" s="18"/>
      <c r="P492" s="18"/>
      <c r="Q492" s="18"/>
      <c r="R492" s="19"/>
      <c r="S492" s="19"/>
    </row>
    <row r="493">
      <c r="A493" s="13"/>
      <c r="B493" s="13"/>
      <c r="C493" s="17"/>
      <c r="D493" s="18"/>
      <c r="E493" s="18"/>
      <c r="F493" s="18"/>
      <c r="G493" s="18"/>
      <c r="H493" s="18"/>
      <c r="I493" s="18"/>
      <c r="J493" s="18"/>
      <c r="K493" s="18"/>
      <c r="L493" s="18"/>
      <c r="M493" s="18"/>
      <c r="N493" s="18"/>
      <c r="O493" s="18"/>
      <c r="P493" s="18"/>
      <c r="Q493" s="18"/>
      <c r="R493" s="19"/>
      <c r="S493" s="19"/>
    </row>
    <row r="494">
      <c r="A494" s="13"/>
      <c r="B494" s="13"/>
      <c r="C494" s="17"/>
      <c r="D494" s="18"/>
      <c r="E494" s="18"/>
      <c r="F494" s="18"/>
      <c r="G494" s="18"/>
      <c r="H494" s="18"/>
      <c r="I494" s="18"/>
      <c r="J494" s="18"/>
      <c r="K494" s="18"/>
      <c r="L494" s="18"/>
      <c r="M494" s="18"/>
      <c r="N494" s="18"/>
      <c r="O494" s="18"/>
      <c r="P494" s="18"/>
      <c r="Q494" s="18"/>
      <c r="R494" s="19"/>
      <c r="S494" s="19"/>
    </row>
    <row r="495">
      <c r="A495" s="13"/>
      <c r="B495" s="13"/>
      <c r="C495" s="17"/>
      <c r="D495" s="18"/>
      <c r="E495" s="18"/>
      <c r="F495" s="18"/>
      <c r="G495" s="18"/>
      <c r="H495" s="18"/>
      <c r="I495" s="18"/>
      <c r="J495" s="18"/>
      <c r="K495" s="18"/>
      <c r="L495" s="18"/>
      <c r="M495" s="18"/>
      <c r="N495" s="18"/>
      <c r="O495" s="18"/>
      <c r="P495" s="18"/>
      <c r="Q495" s="18"/>
      <c r="R495" s="19"/>
      <c r="S495" s="19"/>
    </row>
    <row r="496">
      <c r="A496" s="13"/>
      <c r="B496" s="13"/>
      <c r="C496" s="17"/>
      <c r="D496" s="18"/>
      <c r="E496" s="18"/>
      <c r="F496" s="18"/>
      <c r="G496" s="18"/>
      <c r="H496" s="18"/>
      <c r="I496" s="18"/>
      <c r="J496" s="18"/>
      <c r="K496" s="18"/>
      <c r="L496" s="18"/>
      <c r="M496" s="18"/>
      <c r="N496" s="18"/>
      <c r="O496" s="18"/>
      <c r="P496" s="18"/>
      <c r="Q496" s="18"/>
      <c r="R496" s="19"/>
      <c r="S496" s="19"/>
    </row>
    <row r="497">
      <c r="A497" s="13"/>
      <c r="B497" s="13"/>
      <c r="C497" s="17"/>
      <c r="D497" s="18"/>
      <c r="E497" s="18"/>
      <c r="F497" s="18"/>
      <c r="G497" s="18"/>
      <c r="H497" s="18"/>
      <c r="I497" s="18"/>
      <c r="J497" s="18"/>
      <c r="K497" s="18"/>
      <c r="L497" s="18"/>
      <c r="M497" s="18"/>
      <c r="N497" s="18"/>
      <c r="O497" s="18"/>
      <c r="P497" s="18"/>
      <c r="Q497" s="18"/>
      <c r="R497" s="19"/>
      <c r="S497" s="19"/>
    </row>
    <row r="498">
      <c r="A498" s="13"/>
      <c r="B498" s="13"/>
      <c r="C498" s="17"/>
      <c r="D498" s="18"/>
      <c r="E498" s="18"/>
      <c r="F498" s="18"/>
      <c r="G498" s="18"/>
      <c r="H498" s="18"/>
      <c r="I498" s="18"/>
      <c r="J498" s="18"/>
      <c r="K498" s="18"/>
      <c r="L498" s="18"/>
      <c r="M498" s="18"/>
      <c r="N498" s="18"/>
      <c r="O498" s="18"/>
      <c r="P498" s="18"/>
      <c r="Q498" s="18"/>
      <c r="R498" s="19"/>
      <c r="S498" s="19"/>
    </row>
    <row r="499">
      <c r="A499" s="13"/>
      <c r="B499" s="13"/>
      <c r="C499" s="13"/>
      <c r="D499" s="13"/>
      <c r="E499" s="13"/>
      <c r="F499" s="13"/>
      <c r="G499" s="13"/>
      <c r="H499" s="13"/>
      <c r="I499" s="13"/>
      <c r="J499" s="18"/>
      <c r="K499" s="13"/>
      <c r="L499" s="13"/>
      <c r="M499" s="13"/>
      <c r="N499" s="13"/>
      <c r="O499" s="13"/>
      <c r="P499" s="13"/>
      <c r="Q499" s="18"/>
      <c r="R499" s="19"/>
      <c r="S499" s="19"/>
    </row>
    <row r="500">
      <c r="Q500" s="21"/>
      <c r="R500" s="13"/>
      <c r="S500" s="19"/>
    </row>
    <row r="501">
      <c r="Q501" s="21"/>
      <c r="R501" s="13"/>
      <c r="S501" s="19"/>
    </row>
    <row r="502">
      <c r="Q502" s="21"/>
      <c r="R502" s="13"/>
      <c r="S502" s="19"/>
    </row>
    <row r="503">
      <c r="Q503" s="21"/>
      <c r="R503" s="13"/>
      <c r="S503" s="19"/>
    </row>
    <row r="504">
      <c r="Q504" s="21"/>
      <c r="R504" s="13"/>
      <c r="S504" s="19"/>
    </row>
    <row r="505">
      <c r="Q505" s="21"/>
      <c r="R505" s="13"/>
      <c r="S505" s="19"/>
    </row>
    <row r="506">
      <c r="Q506" s="21"/>
      <c r="R506" s="13"/>
      <c r="S506" s="19"/>
    </row>
    <row r="507">
      <c r="Q507" s="21"/>
      <c r="R507" s="13"/>
      <c r="S507" s="19"/>
    </row>
    <row r="508">
      <c r="Q508" s="21"/>
      <c r="R508" s="13"/>
      <c r="S508" s="19"/>
    </row>
    <row r="509">
      <c r="Q509" s="21"/>
      <c r="R509" s="13"/>
      <c r="S509" s="19"/>
    </row>
    <row r="510">
      <c r="Q510" s="21"/>
      <c r="R510" s="13"/>
      <c r="S510" s="19"/>
    </row>
    <row r="511">
      <c r="Q511" s="21"/>
      <c r="R511" s="13"/>
      <c r="S511" s="19"/>
    </row>
    <row r="512">
      <c r="Q512" s="21"/>
      <c r="R512" s="13"/>
      <c r="S512" s="19"/>
    </row>
    <row r="513">
      <c r="Q513" s="21"/>
      <c r="R513" s="13"/>
      <c r="S513" s="19"/>
    </row>
    <row r="514">
      <c r="Q514" s="21"/>
      <c r="R514" s="13"/>
      <c r="S514" s="19"/>
    </row>
    <row r="515">
      <c r="Q515" s="21"/>
      <c r="R515" s="13"/>
      <c r="S515" s="19"/>
    </row>
    <row r="516">
      <c r="Q516" s="21"/>
      <c r="R516" s="13"/>
      <c r="S516" s="19"/>
    </row>
    <row r="517">
      <c r="Q517" s="21"/>
      <c r="R517" s="13"/>
      <c r="S517" s="19"/>
    </row>
    <row r="518">
      <c r="Q518" s="21"/>
      <c r="R518" s="13"/>
      <c r="S518" s="19"/>
    </row>
    <row r="519">
      <c r="Q519" s="21"/>
      <c r="R519" s="13"/>
      <c r="S519" s="19"/>
    </row>
    <row r="520">
      <c r="Q520" s="21"/>
      <c r="R520" s="13"/>
      <c r="S520" s="19"/>
    </row>
    <row r="521">
      <c r="Q521" s="21"/>
      <c r="R521" s="13"/>
      <c r="S521" s="19"/>
    </row>
    <row r="522">
      <c r="Q522" s="21"/>
      <c r="R522" s="13"/>
      <c r="S522" s="19"/>
    </row>
    <row r="523">
      <c r="Q523" s="21"/>
      <c r="R523" s="13"/>
      <c r="S523" s="19"/>
    </row>
    <row r="524">
      <c r="Q524" s="21"/>
      <c r="R524" s="13"/>
      <c r="S524" s="19"/>
    </row>
    <row r="525">
      <c r="Q525" s="21"/>
      <c r="R525" s="13"/>
      <c r="S525" s="19"/>
    </row>
    <row r="526">
      <c r="Q526" s="21"/>
      <c r="R526" s="13"/>
      <c r="S526" s="19"/>
    </row>
    <row r="527">
      <c r="Q527" s="21"/>
      <c r="R527" s="13"/>
      <c r="S527" s="19"/>
    </row>
    <row r="528">
      <c r="Q528" s="21"/>
      <c r="R528" s="13"/>
      <c r="S528" s="19"/>
    </row>
    <row r="529">
      <c r="Q529" s="21"/>
      <c r="R529" s="13"/>
      <c r="S529" s="19"/>
    </row>
    <row r="530">
      <c r="Q530" s="21"/>
      <c r="R530" s="13"/>
      <c r="S530" s="19"/>
    </row>
    <row r="531">
      <c r="Q531" s="21"/>
      <c r="R531" s="13"/>
      <c r="S531" s="19"/>
    </row>
    <row r="532">
      <c r="Q532" s="21"/>
      <c r="R532" s="13"/>
      <c r="S532" s="19"/>
    </row>
    <row r="533">
      <c r="Q533" s="21"/>
      <c r="R533" s="13"/>
      <c r="S533" s="19"/>
    </row>
    <row r="534">
      <c r="Q534" s="21"/>
      <c r="R534" s="13"/>
      <c r="S534" s="19"/>
    </row>
    <row r="535">
      <c r="Q535" s="21"/>
      <c r="R535" s="13"/>
      <c r="S535" s="19"/>
    </row>
    <row r="536">
      <c r="Q536" s="21"/>
      <c r="R536" s="13"/>
      <c r="S536" s="19"/>
    </row>
    <row r="537">
      <c r="Q537" s="21"/>
      <c r="R537" s="13"/>
      <c r="S537" s="19"/>
    </row>
    <row r="538">
      <c r="Q538" s="21"/>
      <c r="R538" s="13"/>
      <c r="S538" s="19"/>
    </row>
    <row r="539">
      <c r="Q539" s="21"/>
      <c r="R539" s="13"/>
      <c r="S539" s="19"/>
    </row>
    <row r="540">
      <c r="Q540" s="21"/>
      <c r="R540" s="13"/>
      <c r="S540" s="19"/>
    </row>
    <row r="541">
      <c r="Q541" s="21"/>
      <c r="R541" s="13"/>
      <c r="S541" s="19"/>
    </row>
    <row r="542">
      <c r="Q542" s="21"/>
      <c r="R542" s="13"/>
      <c r="S542" s="19"/>
    </row>
    <row r="543">
      <c r="Q543" s="21"/>
      <c r="R543" s="13"/>
      <c r="S543" s="19"/>
    </row>
    <row r="544">
      <c r="Q544" s="21"/>
      <c r="R544" s="13"/>
      <c r="S544" s="19"/>
    </row>
    <row r="545">
      <c r="Q545" s="21"/>
      <c r="R545" s="13"/>
      <c r="S545" s="19"/>
    </row>
    <row r="546">
      <c r="Q546" s="21"/>
      <c r="R546" s="13"/>
      <c r="S546" s="19"/>
    </row>
    <row r="547">
      <c r="Q547" s="21"/>
      <c r="R547" s="13"/>
      <c r="S547" s="19"/>
    </row>
    <row r="548">
      <c r="Q548" s="21"/>
      <c r="R548" s="13"/>
      <c r="S548" s="19"/>
    </row>
    <row r="549">
      <c r="Q549" s="21"/>
      <c r="R549" s="13"/>
      <c r="S549" s="19"/>
    </row>
    <row r="550">
      <c r="Q550" s="21"/>
      <c r="R550" s="13"/>
      <c r="S550" s="19"/>
    </row>
    <row r="551">
      <c r="Q551" s="21"/>
      <c r="R551" s="13"/>
      <c r="S551" s="19"/>
    </row>
    <row r="552">
      <c r="Q552" s="21"/>
      <c r="R552" s="13"/>
      <c r="S552" s="19"/>
    </row>
    <row r="553">
      <c r="Q553" s="21"/>
      <c r="R553" s="13"/>
      <c r="S553" s="19"/>
    </row>
    <row r="554">
      <c r="Q554" s="21"/>
      <c r="R554" s="13"/>
      <c r="S554" s="19"/>
    </row>
    <row r="555">
      <c r="Q555" s="21"/>
      <c r="R555" s="13"/>
      <c r="S555" s="19"/>
    </row>
    <row r="556">
      <c r="Q556" s="21"/>
      <c r="R556" s="13"/>
      <c r="S556" s="19"/>
    </row>
    <row r="557">
      <c r="Q557" s="21"/>
      <c r="R557" s="13"/>
      <c r="S557" s="19"/>
    </row>
    <row r="558">
      <c r="Q558" s="21"/>
      <c r="R558" s="13"/>
      <c r="S558" s="19"/>
    </row>
    <row r="559">
      <c r="Q559" s="21"/>
      <c r="R559" s="13"/>
      <c r="S559" s="19"/>
    </row>
    <row r="560">
      <c r="Q560" s="21"/>
      <c r="R560" s="13"/>
      <c r="S560" s="19"/>
    </row>
    <row r="561">
      <c r="Q561" s="21"/>
      <c r="R561" s="13"/>
      <c r="S561" s="19"/>
    </row>
    <row r="562">
      <c r="Q562" s="21"/>
      <c r="R562" s="13"/>
      <c r="S562" s="19"/>
    </row>
    <row r="563">
      <c r="Q563" s="21"/>
      <c r="R563" s="13"/>
      <c r="S563" s="19"/>
    </row>
    <row r="564">
      <c r="Q564" s="21"/>
      <c r="R564" s="13"/>
      <c r="S564" s="19"/>
    </row>
    <row r="565">
      <c r="Q565" s="21"/>
      <c r="R565" s="13"/>
      <c r="S565" s="19"/>
    </row>
    <row r="566">
      <c r="Q566" s="21"/>
      <c r="R566" s="13"/>
      <c r="S566" s="19"/>
    </row>
    <row r="567">
      <c r="Q567" s="21"/>
      <c r="R567" s="13"/>
      <c r="S567" s="19"/>
    </row>
    <row r="568">
      <c r="Q568" s="21"/>
      <c r="R568" s="13"/>
      <c r="S568" s="19"/>
    </row>
    <row r="569">
      <c r="Q569" s="21"/>
      <c r="R569" s="13"/>
      <c r="S569" s="19"/>
    </row>
    <row r="570">
      <c r="Q570" s="21"/>
      <c r="R570" s="13"/>
      <c r="S570" s="19"/>
    </row>
    <row r="571">
      <c r="Q571" s="21"/>
      <c r="R571" s="13"/>
      <c r="S571" s="19"/>
    </row>
    <row r="572">
      <c r="Q572" s="21"/>
      <c r="R572" s="13"/>
      <c r="S572" s="19"/>
    </row>
    <row r="573">
      <c r="Q573" s="21"/>
      <c r="R573" s="13"/>
      <c r="S573" s="19"/>
    </row>
    <row r="574">
      <c r="Q574" s="21"/>
      <c r="R574" s="13"/>
      <c r="S574" s="19"/>
    </row>
    <row r="575">
      <c r="Q575" s="21"/>
      <c r="R575" s="13"/>
      <c r="S575" s="19"/>
    </row>
    <row r="576">
      <c r="Q576" s="21"/>
      <c r="R576" s="13"/>
      <c r="S576" s="19"/>
    </row>
    <row r="577">
      <c r="Q577" s="21"/>
      <c r="R577" s="13"/>
      <c r="S577" s="19"/>
    </row>
    <row r="578">
      <c r="Q578" s="21"/>
      <c r="R578" s="13"/>
      <c r="S578" s="19"/>
    </row>
    <row r="579">
      <c r="Q579" s="21"/>
      <c r="R579" s="13"/>
      <c r="S579" s="19"/>
    </row>
    <row r="580">
      <c r="Q580" s="21"/>
      <c r="R580" s="13"/>
      <c r="S580" s="19"/>
    </row>
    <row r="581">
      <c r="Q581" s="21"/>
      <c r="R581" s="13"/>
      <c r="S581" s="19"/>
    </row>
    <row r="582">
      <c r="Q582" s="21"/>
      <c r="R582" s="13"/>
      <c r="S582" s="19"/>
    </row>
    <row r="583">
      <c r="Q583" s="21"/>
      <c r="R583" s="13"/>
      <c r="S583" s="19"/>
    </row>
    <row r="584">
      <c r="Q584" s="21"/>
      <c r="R584" s="13"/>
      <c r="S584" s="19"/>
    </row>
    <row r="585">
      <c r="Q585" s="21"/>
      <c r="R585" s="13"/>
      <c r="S585" s="19"/>
    </row>
    <row r="586">
      <c r="Q586" s="21"/>
      <c r="R586" s="13"/>
      <c r="S586" s="19"/>
    </row>
    <row r="587">
      <c r="Q587" s="21"/>
      <c r="R587" s="13"/>
      <c r="S587" s="19"/>
    </row>
    <row r="588">
      <c r="Q588" s="21"/>
      <c r="R588" s="13"/>
      <c r="S588" s="19"/>
    </row>
    <row r="589">
      <c r="Q589" s="21"/>
      <c r="R589" s="13"/>
      <c r="S589" s="19"/>
    </row>
    <row r="590">
      <c r="Q590" s="21"/>
      <c r="R590" s="13"/>
      <c r="S590" s="19"/>
    </row>
    <row r="591">
      <c r="Q591" s="21"/>
      <c r="R591" s="13"/>
      <c r="S591" s="19"/>
    </row>
    <row r="592">
      <c r="Q592" s="21"/>
      <c r="R592" s="13"/>
      <c r="S592" s="19"/>
    </row>
    <row r="593">
      <c r="Q593" s="21"/>
      <c r="R593" s="13"/>
      <c r="S593" s="19"/>
    </row>
    <row r="594">
      <c r="Q594" s="21"/>
      <c r="R594" s="13"/>
      <c r="S594" s="19"/>
    </row>
    <row r="595">
      <c r="Q595" s="21"/>
      <c r="R595" s="13"/>
      <c r="S595" s="19"/>
    </row>
    <row r="596">
      <c r="Q596" s="21"/>
      <c r="R596" s="13"/>
      <c r="S596" s="19"/>
    </row>
    <row r="597">
      <c r="Q597" s="21"/>
      <c r="R597" s="13"/>
      <c r="S597" s="19"/>
    </row>
    <row r="598">
      <c r="Q598" s="21"/>
      <c r="R598" s="13"/>
      <c r="S598" s="19"/>
    </row>
    <row r="599">
      <c r="Q599" s="21"/>
      <c r="R599" s="13"/>
      <c r="S599" s="19"/>
    </row>
    <row r="600">
      <c r="Q600" s="21"/>
      <c r="R600" s="13"/>
      <c r="S600" s="19"/>
    </row>
    <row r="601">
      <c r="Q601" s="21"/>
      <c r="R601" s="13"/>
      <c r="S601" s="19"/>
    </row>
    <row r="602">
      <c r="Q602" s="21"/>
      <c r="R602" s="13"/>
      <c r="S602" s="19"/>
    </row>
    <row r="603">
      <c r="Q603" s="21"/>
      <c r="R603" s="13"/>
      <c r="S603" s="19"/>
    </row>
    <row r="604">
      <c r="Q604" s="21"/>
      <c r="R604" s="13"/>
      <c r="S604" s="19"/>
    </row>
    <row r="605">
      <c r="Q605" s="21"/>
      <c r="R605" s="13"/>
      <c r="S605" s="19"/>
    </row>
    <row r="606">
      <c r="Q606" s="21"/>
      <c r="R606" s="13"/>
      <c r="S606" s="19"/>
    </row>
    <row r="607">
      <c r="Q607" s="21"/>
      <c r="R607" s="13"/>
      <c r="S607" s="19"/>
    </row>
    <row r="608">
      <c r="Q608" s="21"/>
      <c r="R608" s="13"/>
      <c r="S608" s="19"/>
    </row>
    <row r="609">
      <c r="Q609" s="21"/>
      <c r="R609" s="13"/>
      <c r="S609" s="19"/>
    </row>
    <row r="610">
      <c r="Q610" s="21"/>
      <c r="R610" s="13"/>
      <c r="S610" s="19"/>
    </row>
    <row r="611">
      <c r="Q611" s="21"/>
      <c r="R611" s="13"/>
      <c r="S611" s="19"/>
    </row>
    <row r="612">
      <c r="Q612" s="21"/>
      <c r="R612" s="13"/>
      <c r="S612" s="19"/>
    </row>
    <row r="613">
      <c r="Q613" s="21"/>
      <c r="R613" s="13"/>
      <c r="S613" s="19"/>
    </row>
    <row r="614">
      <c r="Q614" s="21"/>
      <c r="R614" s="13"/>
      <c r="S614" s="19"/>
    </row>
    <row r="615">
      <c r="Q615" s="21"/>
      <c r="R615" s="13"/>
      <c r="S615" s="19"/>
    </row>
    <row r="616">
      <c r="Q616" s="21"/>
      <c r="R616" s="13"/>
      <c r="S616" s="19"/>
    </row>
    <row r="617">
      <c r="Q617" s="21"/>
      <c r="R617" s="13"/>
      <c r="S617" s="19"/>
    </row>
    <row r="618">
      <c r="Q618" s="21"/>
      <c r="R618" s="13"/>
      <c r="S618" s="19"/>
    </row>
    <row r="619">
      <c r="Q619" s="21"/>
      <c r="R619" s="13"/>
      <c r="S619" s="19"/>
    </row>
    <row r="620">
      <c r="Q620" s="21"/>
      <c r="R620" s="13"/>
      <c r="S620" s="19"/>
    </row>
    <row r="621">
      <c r="Q621" s="21"/>
      <c r="R621" s="13"/>
      <c r="S621" s="19"/>
    </row>
    <row r="622">
      <c r="Q622" s="21"/>
      <c r="R622" s="13"/>
      <c r="S622" s="19"/>
    </row>
    <row r="623">
      <c r="Q623" s="21"/>
      <c r="R623" s="13"/>
      <c r="S623" s="19"/>
    </row>
    <row r="624">
      <c r="Q624" s="21"/>
      <c r="R624" s="13"/>
      <c r="S624" s="19"/>
    </row>
    <row r="625">
      <c r="Q625" s="21"/>
      <c r="R625" s="13"/>
      <c r="S625" s="19"/>
    </row>
    <row r="626">
      <c r="Q626" s="21"/>
      <c r="R626" s="13"/>
      <c r="S626" s="19"/>
    </row>
    <row r="627">
      <c r="Q627" s="21"/>
      <c r="R627" s="13"/>
      <c r="S627" s="19"/>
    </row>
    <row r="628">
      <c r="Q628" s="21"/>
      <c r="R628" s="13"/>
      <c r="S628" s="19"/>
    </row>
    <row r="629">
      <c r="Q629" s="21"/>
      <c r="R629" s="13"/>
      <c r="S629" s="19"/>
    </row>
    <row r="630">
      <c r="Q630" s="21"/>
      <c r="R630" s="13"/>
      <c r="S630" s="19"/>
    </row>
    <row r="631">
      <c r="Q631" s="21"/>
      <c r="R631" s="13"/>
      <c r="S631" s="19"/>
    </row>
    <row r="632">
      <c r="Q632" s="21"/>
      <c r="R632" s="13"/>
      <c r="S632" s="19"/>
    </row>
    <row r="633">
      <c r="Q633" s="21"/>
      <c r="R633" s="13"/>
      <c r="S633" s="19"/>
    </row>
    <row r="634">
      <c r="Q634" s="21"/>
      <c r="R634" s="13"/>
      <c r="S634" s="19"/>
    </row>
    <row r="635">
      <c r="Q635" s="21"/>
      <c r="R635" s="13"/>
      <c r="S635" s="19"/>
    </row>
    <row r="636">
      <c r="Q636" s="21"/>
      <c r="R636" s="13"/>
      <c r="S636" s="19"/>
    </row>
    <row r="637">
      <c r="Q637" s="21"/>
      <c r="R637" s="13"/>
      <c r="S637" s="19"/>
    </row>
    <row r="638">
      <c r="Q638" s="21"/>
      <c r="R638" s="13"/>
      <c r="S638" s="19"/>
    </row>
    <row r="639">
      <c r="Q639" s="21"/>
      <c r="R639" s="13"/>
      <c r="S639" s="19"/>
    </row>
    <row r="640">
      <c r="Q640" s="21"/>
      <c r="R640" s="13"/>
      <c r="S640" s="19"/>
    </row>
    <row r="641">
      <c r="Q641" s="21"/>
      <c r="R641" s="13"/>
      <c r="S641" s="19"/>
    </row>
    <row r="642">
      <c r="Q642" s="21"/>
      <c r="R642" s="13"/>
      <c r="S642" s="19"/>
    </row>
    <row r="643">
      <c r="Q643" s="21"/>
      <c r="R643" s="13"/>
      <c r="S643" s="19"/>
    </row>
    <row r="644">
      <c r="Q644" s="21"/>
      <c r="R644" s="13"/>
      <c r="S644" s="19"/>
    </row>
    <row r="645">
      <c r="Q645" s="21"/>
      <c r="R645" s="13"/>
      <c r="S645" s="19"/>
    </row>
    <row r="646">
      <c r="Q646" s="21"/>
      <c r="R646" s="13"/>
      <c r="S646" s="19"/>
    </row>
    <row r="647">
      <c r="Q647" s="21"/>
      <c r="R647" s="13"/>
      <c r="S647" s="19"/>
    </row>
    <row r="648">
      <c r="Q648" s="21"/>
      <c r="R648" s="13"/>
      <c r="S648" s="19"/>
    </row>
    <row r="649">
      <c r="Q649" s="21"/>
      <c r="R649" s="13"/>
      <c r="S649" s="19"/>
    </row>
    <row r="650">
      <c r="Q650" s="21"/>
      <c r="R650" s="13"/>
      <c r="S650" s="19"/>
    </row>
    <row r="651">
      <c r="Q651" s="21"/>
      <c r="R651" s="13"/>
      <c r="S651" s="19"/>
    </row>
    <row r="652">
      <c r="Q652" s="21"/>
      <c r="R652" s="13"/>
      <c r="S652" s="19"/>
    </row>
    <row r="653">
      <c r="Q653" s="21"/>
      <c r="R653" s="13"/>
      <c r="S653" s="19"/>
    </row>
    <row r="654">
      <c r="Q654" s="21"/>
      <c r="R654" s="13"/>
      <c r="S654" s="19"/>
    </row>
    <row r="655">
      <c r="Q655" s="21"/>
      <c r="R655" s="13"/>
      <c r="S655" s="19"/>
    </row>
    <row r="656">
      <c r="Q656" s="21"/>
      <c r="R656" s="13"/>
      <c r="S656" s="19"/>
    </row>
    <row r="657">
      <c r="Q657" s="21"/>
      <c r="R657" s="13"/>
      <c r="S657" s="19"/>
    </row>
    <row r="658">
      <c r="Q658" s="21"/>
      <c r="R658" s="13"/>
      <c r="S658" s="19"/>
    </row>
    <row r="659">
      <c r="Q659" s="21"/>
      <c r="R659" s="13"/>
      <c r="S659" s="19"/>
    </row>
    <row r="660">
      <c r="Q660" s="21"/>
      <c r="R660" s="13"/>
      <c r="S660" s="19"/>
    </row>
    <row r="661">
      <c r="Q661" s="21"/>
      <c r="R661" s="13"/>
      <c r="S661" s="19"/>
    </row>
    <row r="662">
      <c r="Q662" s="21"/>
      <c r="R662" s="13"/>
      <c r="S662" s="19"/>
    </row>
    <row r="663">
      <c r="Q663" s="21"/>
      <c r="R663" s="13"/>
      <c r="S663" s="19"/>
    </row>
    <row r="664">
      <c r="Q664" s="21"/>
      <c r="R664" s="13"/>
      <c r="S664" s="19"/>
    </row>
    <row r="665">
      <c r="Q665" s="21"/>
      <c r="R665" s="13"/>
      <c r="S665" s="19"/>
    </row>
    <row r="666">
      <c r="Q666" s="21"/>
      <c r="R666" s="13"/>
      <c r="S666" s="19"/>
    </row>
    <row r="667">
      <c r="Q667" s="21"/>
      <c r="R667" s="13"/>
      <c r="S667" s="19"/>
    </row>
    <row r="668">
      <c r="Q668" s="21"/>
      <c r="R668" s="13"/>
      <c r="S668" s="19"/>
    </row>
    <row r="669">
      <c r="Q669" s="21"/>
      <c r="R669" s="13"/>
      <c r="S669" s="19"/>
    </row>
    <row r="670">
      <c r="Q670" s="21"/>
      <c r="R670" s="13"/>
      <c r="S670" s="19"/>
    </row>
    <row r="671">
      <c r="Q671" s="21"/>
      <c r="R671" s="13"/>
      <c r="S671" s="19"/>
    </row>
    <row r="672">
      <c r="Q672" s="21"/>
      <c r="R672" s="13"/>
      <c r="S672" s="19"/>
    </row>
    <row r="673">
      <c r="Q673" s="21"/>
      <c r="R673" s="13"/>
      <c r="S673" s="19"/>
    </row>
    <row r="674">
      <c r="Q674" s="21"/>
      <c r="R674" s="13"/>
      <c r="S674" s="19"/>
    </row>
    <row r="675">
      <c r="Q675" s="21"/>
      <c r="R675" s="13"/>
      <c r="S675" s="19"/>
    </row>
    <row r="676">
      <c r="Q676" s="21"/>
      <c r="R676" s="13"/>
      <c r="S676" s="19"/>
    </row>
    <row r="677">
      <c r="Q677" s="21"/>
      <c r="R677" s="13"/>
      <c r="S677" s="19"/>
    </row>
    <row r="678">
      <c r="Q678" s="21"/>
      <c r="R678" s="13"/>
      <c r="S678" s="19"/>
    </row>
    <row r="679">
      <c r="Q679" s="21"/>
      <c r="R679" s="13"/>
      <c r="S679" s="19"/>
    </row>
    <row r="680">
      <c r="Q680" s="21"/>
      <c r="R680" s="13"/>
      <c r="S680" s="19"/>
    </row>
    <row r="681">
      <c r="Q681" s="21"/>
      <c r="R681" s="13"/>
      <c r="S681" s="19"/>
    </row>
    <row r="682">
      <c r="Q682" s="21"/>
      <c r="R682" s="13"/>
      <c r="S682" s="19"/>
    </row>
    <row r="683">
      <c r="Q683" s="21"/>
      <c r="R683" s="13"/>
      <c r="S683" s="19"/>
    </row>
    <row r="684">
      <c r="Q684" s="21"/>
      <c r="R684" s="13"/>
      <c r="S684" s="19"/>
    </row>
    <row r="685">
      <c r="Q685" s="21"/>
      <c r="R685" s="13"/>
      <c r="S685" s="19"/>
    </row>
    <row r="686">
      <c r="Q686" s="21"/>
      <c r="R686" s="13"/>
      <c r="S686" s="19"/>
    </row>
    <row r="687">
      <c r="Q687" s="21"/>
      <c r="R687" s="13"/>
      <c r="S687" s="19"/>
    </row>
    <row r="688">
      <c r="Q688" s="21"/>
      <c r="R688" s="13"/>
      <c r="S688" s="19"/>
    </row>
    <row r="689">
      <c r="Q689" s="21"/>
      <c r="R689" s="13"/>
      <c r="S689" s="19"/>
    </row>
    <row r="690">
      <c r="Q690" s="21"/>
      <c r="R690" s="13"/>
      <c r="S690" s="19"/>
    </row>
    <row r="691">
      <c r="Q691" s="21"/>
      <c r="R691" s="13"/>
      <c r="S691" s="19"/>
    </row>
    <row r="692">
      <c r="Q692" s="21"/>
      <c r="R692" s="13"/>
      <c r="S692" s="19"/>
    </row>
    <row r="693">
      <c r="Q693" s="21"/>
      <c r="R693" s="13"/>
      <c r="S693" s="19"/>
    </row>
    <row r="694">
      <c r="Q694" s="21"/>
      <c r="R694" s="13"/>
      <c r="S694" s="19"/>
    </row>
    <row r="695">
      <c r="Q695" s="21"/>
      <c r="R695" s="13"/>
      <c r="S695" s="19"/>
    </row>
    <row r="696">
      <c r="Q696" s="21"/>
      <c r="R696" s="13"/>
      <c r="S696" s="19"/>
    </row>
    <row r="697">
      <c r="Q697" s="21"/>
      <c r="R697" s="13"/>
      <c r="S697" s="19"/>
    </row>
    <row r="698">
      <c r="Q698" s="21"/>
      <c r="R698" s="13"/>
      <c r="S698" s="19"/>
    </row>
    <row r="699">
      <c r="Q699" s="21"/>
      <c r="R699" s="13"/>
      <c r="S699" s="19"/>
    </row>
    <row r="700">
      <c r="Q700" s="21"/>
      <c r="R700" s="13"/>
      <c r="S700" s="19"/>
    </row>
    <row r="701">
      <c r="Q701" s="21"/>
      <c r="R701" s="13"/>
      <c r="S701" s="19"/>
    </row>
    <row r="702">
      <c r="Q702" s="21"/>
      <c r="R702" s="13"/>
      <c r="S702" s="19"/>
    </row>
    <row r="703">
      <c r="Q703" s="21"/>
      <c r="R703" s="13"/>
      <c r="S703" s="19"/>
    </row>
    <row r="704">
      <c r="Q704" s="21"/>
      <c r="R704" s="13"/>
      <c r="S704" s="19"/>
    </row>
    <row r="705">
      <c r="Q705" s="21"/>
      <c r="R705" s="13"/>
      <c r="S705" s="19"/>
    </row>
    <row r="706">
      <c r="Q706" s="21"/>
      <c r="R706" s="13"/>
      <c r="S706" s="19"/>
    </row>
    <row r="707">
      <c r="Q707" s="21"/>
      <c r="R707" s="13"/>
      <c r="S707" s="19"/>
    </row>
    <row r="708">
      <c r="Q708" s="21"/>
      <c r="R708" s="13"/>
      <c r="S708" s="19"/>
    </row>
    <row r="709">
      <c r="Q709" s="21"/>
      <c r="R709" s="13"/>
      <c r="S709" s="19"/>
    </row>
    <row r="710">
      <c r="Q710" s="21"/>
      <c r="R710" s="13"/>
      <c r="S710" s="19"/>
    </row>
    <row r="711">
      <c r="Q711" s="21"/>
      <c r="R711" s="13"/>
      <c r="S711" s="19"/>
    </row>
    <row r="712">
      <c r="Q712" s="21"/>
      <c r="R712" s="13"/>
      <c r="S712" s="19"/>
    </row>
    <row r="713">
      <c r="Q713" s="21"/>
      <c r="R713" s="13"/>
      <c r="S713" s="19"/>
    </row>
    <row r="714">
      <c r="Q714" s="21"/>
      <c r="R714" s="13"/>
      <c r="S714" s="19"/>
    </row>
    <row r="715">
      <c r="Q715" s="21"/>
      <c r="R715" s="13"/>
      <c r="S715" s="19"/>
    </row>
    <row r="716">
      <c r="Q716" s="21"/>
      <c r="R716" s="13"/>
      <c r="S716" s="19"/>
    </row>
    <row r="717">
      <c r="Q717" s="21"/>
      <c r="R717" s="13"/>
      <c r="S717" s="19"/>
    </row>
    <row r="718">
      <c r="Q718" s="21"/>
      <c r="R718" s="13"/>
      <c r="S718" s="19"/>
    </row>
    <row r="719">
      <c r="Q719" s="21"/>
      <c r="R719" s="13"/>
      <c r="S719" s="19"/>
    </row>
    <row r="720">
      <c r="Q720" s="21"/>
      <c r="R720" s="13"/>
      <c r="S720" s="19"/>
    </row>
    <row r="721">
      <c r="Q721" s="21"/>
      <c r="R721" s="13"/>
      <c r="S721" s="19"/>
    </row>
    <row r="722">
      <c r="Q722" s="21"/>
      <c r="R722" s="13"/>
      <c r="S722" s="19"/>
    </row>
    <row r="723">
      <c r="Q723" s="21"/>
      <c r="R723" s="13"/>
      <c r="S723" s="19"/>
    </row>
    <row r="724">
      <c r="Q724" s="21"/>
      <c r="R724" s="13"/>
      <c r="S724" s="19"/>
    </row>
    <row r="725">
      <c r="Q725" s="21"/>
      <c r="R725" s="13"/>
      <c r="S725" s="19"/>
    </row>
    <row r="726">
      <c r="Q726" s="21"/>
      <c r="R726" s="13"/>
      <c r="S726" s="19"/>
    </row>
    <row r="727">
      <c r="Q727" s="21"/>
      <c r="R727" s="13"/>
      <c r="S727" s="19"/>
    </row>
    <row r="728">
      <c r="Q728" s="21"/>
      <c r="R728" s="13"/>
      <c r="S728" s="19"/>
    </row>
    <row r="729">
      <c r="Q729" s="21"/>
      <c r="R729" s="13"/>
      <c r="S729" s="19"/>
    </row>
    <row r="730">
      <c r="Q730" s="21"/>
      <c r="R730" s="13"/>
      <c r="S730" s="19"/>
    </row>
    <row r="731">
      <c r="Q731" s="21"/>
      <c r="R731" s="13"/>
      <c r="S731" s="19"/>
    </row>
    <row r="732">
      <c r="Q732" s="21"/>
      <c r="R732" s="13"/>
      <c r="S732" s="19"/>
    </row>
    <row r="733">
      <c r="Q733" s="21"/>
      <c r="R733" s="13"/>
      <c r="S733" s="19"/>
    </row>
    <row r="734">
      <c r="Q734" s="21"/>
      <c r="R734" s="13"/>
      <c r="S734" s="19"/>
    </row>
    <row r="735">
      <c r="Q735" s="21"/>
      <c r="R735" s="13"/>
      <c r="S735" s="19"/>
    </row>
    <row r="736">
      <c r="Q736" s="21"/>
      <c r="R736" s="13"/>
      <c r="S736" s="19"/>
    </row>
    <row r="737">
      <c r="Q737" s="21"/>
      <c r="R737" s="13"/>
      <c r="S737" s="19"/>
    </row>
    <row r="738">
      <c r="Q738" s="21"/>
      <c r="R738" s="13"/>
      <c r="S738" s="19"/>
    </row>
    <row r="739">
      <c r="Q739" s="21"/>
      <c r="R739" s="13"/>
      <c r="S739" s="19"/>
    </row>
    <row r="740">
      <c r="Q740" s="21"/>
      <c r="R740" s="13"/>
      <c r="S740" s="19"/>
    </row>
    <row r="741">
      <c r="Q741" s="21"/>
      <c r="R741" s="13"/>
      <c r="S741" s="19"/>
    </row>
    <row r="742">
      <c r="Q742" s="21"/>
      <c r="R742" s="13"/>
      <c r="S742" s="19"/>
    </row>
    <row r="743">
      <c r="Q743" s="21"/>
      <c r="R743" s="13"/>
      <c r="S743" s="19"/>
    </row>
    <row r="744">
      <c r="Q744" s="21"/>
      <c r="R744" s="13"/>
      <c r="S744" s="19"/>
    </row>
    <row r="745">
      <c r="Q745" s="21"/>
      <c r="R745" s="13"/>
      <c r="S745" s="19"/>
    </row>
    <row r="746">
      <c r="Q746" s="21"/>
      <c r="R746" s="13"/>
      <c r="S746" s="19"/>
    </row>
    <row r="747">
      <c r="Q747" s="21"/>
      <c r="R747" s="13"/>
      <c r="S747" s="19"/>
    </row>
    <row r="748">
      <c r="Q748" s="21"/>
      <c r="R748" s="13"/>
      <c r="S748" s="19"/>
    </row>
    <row r="749">
      <c r="Q749" s="21"/>
      <c r="R749" s="13"/>
      <c r="S749" s="19"/>
    </row>
    <row r="750">
      <c r="Q750" s="21"/>
      <c r="R750" s="13"/>
      <c r="S750" s="19"/>
    </row>
    <row r="751">
      <c r="Q751" s="21"/>
      <c r="R751" s="13"/>
      <c r="S751" s="19"/>
    </row>
    <row r="752">
      <c r="Q752" s="21"/>
      <c r="R752" s="13"/>
      <c r="S752" s="19"/>
    </row>
    <row r="753">
      <c r="Q753" s="21"/>
      <c r="R753" s="13"/>
      <c r="S753" s="19"/>
    </row>
    <row r="754">
      <c r="Q754" s="21"/>
      <c r="R754" s="13"/>
      <c r="S754" s="19"/>
    </row>
    <row r="755">
      <c r="Q755" s="21"/>
      <c r="R755" s="13"/>
      <c r="S755" s="19"/>
    </row>
    <row r="756">
      <c r="Q756" s="21"/>
      <c r="R756" s="13"/>
      <c r="S756" s="19"/>
    </row>
    <row r="757">
      <c r="Q757" s="21"/>
      <c r="R757" s="13"/>
      <c r="S757" s="19"/>
    </row>
    <row r="758">
      <c r="Q758" s="21"/>
      <c r="R758" s="13"/>
      <c r="S758" s="19"/>
    </row>
    <row r="759">
      <c r="Q759" s="21"/>
      <c r="R759" s="13"/>
      <c r="S759" s="19"/>
    </row>
    <row r="760">
      <c r="Q760" s="21"/>
      <c r="R760" s="13"/>
      <c r="S760" s="19"/>
    </row>
    <row r="761">
      <c r="Q761" s="21"/>
      <c r="R761" s="13"/>
      <c r="S761" s="19"/>
    </row>
    <row r="762">
      <c r="Q762" s="21"/>
      <c r="R762" s="13"/>
      <c r="S762" s="19"/>
    </row>
    <row r="763">
      <c r="Q763" s="21"/>
      <c r="R763" s="13"/>
      <c r="S763" s="19"/>
    </row>
    <row r="764">
      <c r="Q764" s="21"/>
      <c r="R764" s="13"/>
      <c r="S764" s="19"/>
    </row>
    <row r="765">
      <c r="Q765" s="21"/>
      <c r="R765" s="13"/>
      <c r="S765" s="19"/>
    </row>
    <row r="766">
      <c r="Q766" s="21"/>
      <c r="R766" s="13"/>
      <c r="S766" s="19"/>
    </row>
    <row r="767">
      <c r="Q767" s="21"/>
      <c r="R767" s="13"/>
      <c r="S767" s="19"/>
    </row>
    <row r="768">
      <c r="Q768" s="21"/>
      <c r="R768" s="13"/>
      <c r="S768" s="19"/>
    </row>
    <row r="769">
      <c r="Q769" s="21"/>
      <c r="R769" s="13"/>
      <c r="S769" s="19"/>
    </row>
    <row r="770">
      <c r="Q770" s="21"/>
      <c r="R770" s="13"/>
      <c r="S770" s="19"/>
    </row>
    <row r="771">
      <c r="Q771" s="21"/>
      <c r="R771" s="13"/>
      <c r="S771" s="19"/>
    </row>
    <row r="772">
      <c r="Q772" s="21"/>
      <c r="R772" s="13"/>
      <c r="S772" s="19"/>
    </row>
    <row r="773">
      <c r="Q773" s="21"/>
      <c r="R773" s="13"/>
      <c r="S773" s="19"/>
    </row>
    <row r="774">
      <c r="Q774" s="21"/>
      <c r="R774" s="13"/>
      <c r="S774" s="19"/>
    </row>
    <row r="775">
      <c r="Q775" s="21"/>
      <c r="R775" s="13"/>
      <c r="S775" s="19"/>
    </row>
    <row r="776">
      <c r="Q776" s="21"/>
      <c r="R776" s="13"/>
      <c r="S776" s="19"/>
    </row>
    <row r="777">
      <c r="Q777" s="21"/>
      <c r="R777" s="13"/>
      <c r="S777" s="19"/>
    </row>
    <row r="778">
      <c r="Q778" s="21"/>
      <c r="R778" s="13"/>
      <c r="S778" s="19"/>
    </row>
    <row r="779">
      <c r="Q779" s="21"/>
      <c r="R779" s="13"/>
      <c r="S779" s="19"/>
    </row>
    <row r="780">
      <c r="Q780" s="21"/>
      <c r="R780" s="13"/>
      <c r="S780" s="19"/>
    </row>
    <row r="781">
      <c r="Q781" s="21"/>
      <c r="R781" s="13"/>
      <c r="S781" s="19"/>
    </row>
    <row r="782">
      <c r="Q782" s="21"/>
      <c r="R782" s="13"/>
      <c r="S782" s="19"/>
    </row>
    <row r="783">
      <c r="Q783" s="21"/>
      <c r="R783" s="13"/>
      <c r="S783" s="19"/>
    </row>
    <row r="784">
      <c r="Q784" s="21"/>
      <c r="R784" s="13"/>
      <c r="S784" s="19"/>
    </row>
    <row r="785">
      <c r="Q785" s="21"/>
      <c r="R785" s="13"/>
      <c r="S785" s="19"/>
    </row>
    <row r="786">
      <c r="Q786" s="21"/>
      <c r="R786" s="13"/>
      <c r="S786" s="19"/>
    </row>
    <row r="787">
      <c r="Q787" s="21"/>
      <c r="R787" s="13"/>
      <c r="S787" s="19"/>
    </row>
    <row r="788">
      <c r="Q788" s="21"/>
      <c r="R788" s="13"/>
      <c r="S788" s="19"/>
    </row>
    <row r="789">
      <c r="Q789" s="21"/>
      <c r="R789" s="13"/>
      <c r="S789" s="19"/>
    </row>
    <row r="790">
      <c r="Q790" s="21"/>
      <c r="R790" s="13"/>
      <c r="S790" s="19"/>
    </row>
    <row r="791">
      <c r="Q791" s="21"/>
      <c r="R791" s="13"/>
      <c r="S791" s="19"/>
    </row>
    <row r="792">
      <c r="Q792" s="21"/>
      <c r="R792" s="13"/>
      <c r="S792" s="19"/>
    </row>
    <row r="793">
      <c r="Q793" s="21"/>
      <c r="R793" s="13"/>
      <c r="S793" s="19"/>
    </row>
    <row r="794">
      <c r="Q794" s="21"/>
      <c r="R794" s="13"/>
      <c r="S794" s="19"/>
    </row>
    <row r="795">
      <c r="Q795" s="21"/>
      <c r="R795" s="13"/>
      <c r="S795" s="19"/>
    </row>
    <row r="796">
      <c r="Q796" s="21"/>
      <c r="R796" s="13"/>
      <c r="S796" s="19"/>
    </row>
    <row r="797">
      <c r="Q797" s="21"/>
      <c r="R797" s="13"/>
      <c r="S797" s="19"/>
    </row>
    <row r="798">
      <c r="Q798" s="21"/>
      <c r="R798" s="13"/>
      <c r="S798" s="19"/>
    </row>
    <row r="799">
      <c r="Q799" s="21"/>
      <c r="R799" s="13"/>
      <c r="S799" s="19"/>
    </row>
    <row r="800">
      <c r="Q800" s="21"/>
      <c r="R800" s="13"/>
      <c r="S800" s="19"/>
    </row>
    <row r="801">
      <c r="Q801" s="21"/>
      <c r="R801" s="13"/>
      <c r="S801" s="19"/>
    </row>
    <row r="802">
      <c r="Q802" s="21"/>
      <c r="R802" s="13"/>
      <c r="S802" s="19"/>
    </row>
    <row r="803">
      <c r="Q803" s="21"/>
      <c r="R803" s="13"/>
      <c r="S803" s="19"/>
    </row>
    <row r="804">
      <c r="Q804" s="21"/>
      <c r="R804" s="13"/>
      <c r="S804" s="19"/>
    </row>
    <row r="805">
      <c r="Q805" s="21"/>
      <c r="R805" s="13"/>
      <c r="S805" s="19"/>
    </row>
    <row r="806">
      <c r="Q806" s="21"/>
      <c r="R806" s="13"/>
      <c r="S806" s="19"/>
    </row>
    <row r="807">
      <c r="Q807" s="21"/>
      <c r="R807" s="13"/>
      <c r="S807" s="19"/>
    </row>
    <row r="808">
      <c r="Q808" s="21"/>
      <c r="R808" s="13"/>
      <c r="S808" s="19"/>
    </row>
    <row r="809">
      <c r="Q809" s="21"/>
      <c r="R809" s="13"/>
      <c r="S809" s="19"/>
    </row>
    <row r="810">
      <c r="Q810" s="21"/>
      <c r="R810" s="13"/>
      <c r="S810" s="19"/>
    </row>
    <row r="811">
      <c r="Q811" s="21"/>
      <c r="R811" s="13"/>
      <c r="S811" s="19"/>
    </row>
    <row r="812">
      <c r="Q812" s="21"/>
      <c r="R812" s="13"/>
      <c r="S812" s="19"/>
    </row>
    <row r="813">
      <c r="Q813" s="21"/>
      <c r="R813" s="13"/>
      <c r="S813" s="19"/>
    </row>
    <row r="814">
      <c r="Q814" s="21"/>
      <c r="R814" s="13"/>
      <c r="S814" s="19"/>
    </row>
    <row r="815">
      <c r="Q815" s="21"/>
      <c r="R815" s="13"/>
      <c r="S815" s="19"/>
    </row>
    <row r="816">
      <c r="Q816" s="21"/>
      <c r="R816" s="13"/>
      <c r="S816" s="19"/>
    </row>
    <row r="817">
      <c r="Q817" s="21"/>
      <c r="R817" s="13"/>
      <c r="S817" s="19"/>
    </row>
    <row r="818">
      <c r="Q818" s="21"/>
      <c r="R818" s="13"/>
      <c r="S818" s="19"/>
    </row>
    <row r="819">
      <c r="Q819" s="21"/>
      <c r="R819" s="13"/>
      <c r="S819" s="19"/>
    </row>
    <row r="820">
      <c r="Q820" s="21"/>
      <c r="R820" s="13"/>
      <c r="S820" s="19"/>
    </row>
    <row r="821">
      <c r="Q821" s="21"/>
      <c r="R821" s="13"/>
      <c r="S821" s="19"/>
    </row>
    <row r="822">
      <c r="Q822" s="21"/>
      <c r="R822" s="13"/>
      <c r="S822" s="19"/>
    </row>
    <row r="823">
      <c r="Q823" s="21"/>
      <c r="R823" s="13"/>
      <c r="S823" s="19"/>
    </row>
    <row r="824">
      <c r="Q824" s="21"/>
      <c r="R824" s="13"/>
      <c r="S824" s="19"/>
    </row>
    <row r="825">
      <c r="Q825" s="21"/>
      <c r="R825" s="13"/>
      <c r="S825" s="19"/>
    </row>
    <row r="826">
      <c r="Q826" s="21"/>
      <c r="R826" s="13"/>
      <c r="S826" s="19"/>
    </row>
    <row r="827">
      <c r="Q827" s="21"/>
      <c r="R827" s="13"/>
      <c r="S827" s="19"/>
    </row>
    <row r="828">
      <c r="Q828" s="21"/>
      <c r="R828" s="13"/>
      <c r="S828" s="19"/>
    </row>
    <row r="829">
      <c r="Q829" s="21"/>
      <c r="R829" s="13"/>
      <c r="S829" s="19"/>
    </row>
    <row r="830">
      <c r="Q830" s="21"/>
      <c r="R830" s="13"/>
      <c r="S830" s="19"/>
    </row>
    <row r="831">
      <c r="Q831" s="21"/>
      <c r="R831" s="13"/>
      <c r="S831" s="19"/>
    </row>
    <row r="832">
      <c r="Q832" s="21"/>
      <c r="R832" s="13"/>
      <c r="S832" s="19"/>
    </row>
    <row r="833">
      <c r="Q833" s="21"/>
      <c r="R833" s="13"/>
      <c r="S833" s="19"/>
    </row>
    <row r="834">
      <c r="Q834" s="21"/>
      <c r="R834" s="13"/>
      <c r="S834" s="19"/>
    </row>
    <row r="835">
      <c r="Q835" s="21"/>
      <c r="R835" s="13"/>
      <c r="S835" s="19"/>
    </row>
    <row r="836">
      <c r="Q836" s="21"/>
      <c r="R836" s="13"/>
      <c r="S836" s="19"/>
    </row>
    <row r="837">
      <c r="Q837" s="21"/>
      <c r="R837" s="13"/>
      <c r="S837" s="19"/>
    </row>
    <row r="838">
      <c r="Q838" s="21"/>
      <c r="R838" s="13"/>
      <c r="S838" s="19"/>
    </row>
    <row r="839">
      <c r="Q839" s="21"/>
      <c r="R839" s="13"/>
      <c r="S839" s="19"/>
    </row>
    <row r="840">
      <c r="Q840" s="21"/>
      <c r="R840" s="13"/>
      <c r="S840" s="19"/>
    </row>
    <row r="841">
      <c r="Q841" s="21"/>
      <c r="R841" s="13"/>
      <c r="S841" s="19"/>
    </row>
    <row r="842">
      <c r="Q842" s="21"/>
      <c r="R842" s="13"/>
      <c r="S842" s="19"/>
    </row>
    <row r="843">
      <c r="Q843" s="21"/>
      <c r="R843" s="13"/>
      <c r="S843" s="19"/>
    </row>
    <row r="844">
      <c r="Q844" s="21"/>
      <c r="R844" s="13"/>
      <c r="S844" s="19"/>
    </row>
    <row r="845">
      <c r="Q845" s="21"/>
      <c r="R845" s="13"/>
      <c r="S845" s="19"/>
    </row>
    <row r="846">
      <c r="Q846" s="21"/>
      <c r="R846" s="13"/>
      <c r="S846" s="19"/>
    </row>
    <row r="847">
      <c r="Q847" s="21"/>
      <c r="R847" s="13"/>
      <c r="S847" s="19"/>
    </row>
    <row r="848">
      <c r="Q848" s="21"/>
      <c r="R848" s="13"/>
      <c r="S848" s="19"/>
    </row>
    <row r="849">
      <c r="Q849" s="21"/>
      <c r="R849" s="13"/>
      <c r="S849" s="19"/>
    </row>
    <row r="850">
      <c r="Q850" s="21"/>
      <c r="R850" s="13"/>
      <c r="S850" s="19"/>
    </row>
    <row r="851">
      <c r="Q851" s="21"/>
      <c r="R851" s="13"/>
      <c r="S851" s="19"/>
    </row>
    <row r="852">
      <c r="Q852" s="21"/>
      <c r="R852" s="13"/>
      <c r="S852" s="19"/>
    </row>
    <row r="853">
      <c r="Q853" s="21"/>
      <c r="R853" s="13"/>
      <c r="S853" s="19"/>
    </row>
    <row r="854">
      <c r="Q854" s="21"/>
      <c r="R854" s="13"/>
      <c r="S854" s="19"/>
    </row>
    <row r="855">
      <c r="Q855" s="21"/>
      <c r="R855" s="13"/>
      <c r="S855" s="19"/>
    </row>
    <row r="856">
      <c r="Q856" s="21"/>
      <c r="R856" s="13"/>
      <c r="S856" s="19"/>
    </row>
    <row r="857">
      <c r="Q857" s="21"/>
      <c r="R857" s="13"/>
      <c r="S857" s="19"/>
    </row>
    <row r="858">
      <c r="Q858" s="21"/>
      <c r="R858" s="13"/>
      <c r="S858" s="19"/>
    </row>
    <row r="859">
      <c r="Q859" s="21"/>
      <c r="R859" s="13"/>
      <c r="S859" s="19"/>
    </row>
    <row r="860">
      <c r="Q860" s="21"/>
      <c r="R860" s="13"/>
      <c r="S860" s="19"/>
    </row>
    <row r="861">
      <c r="Q861" s="21"/>
      <c r="R861" s="13"/>
      <c r="S861" s="19"/>
    </row>
    <row r="862">
      <c r="Q862" s="21"/>
      <c r="R862" s="13"/>
      <c r="S862" s="19"/>
    </row>
    <row r="863">
      <c r="Q863" s="21"/>
      <c r="R863" s="13"/>
      <c r="S863" s="19"/>
    </row>
    <row r="864">
      <c r="Q864" s="21"/>
      <c r="R864" s="13"/>
      <c r="S864" s="19"/>
    </row>
    <row r="865">
      <c r="Q865" s="21"/>
      <c r="R865" s="13"/>
      <c r="S865" s="19"/>
    </row>
    <row r="866">
      <c r="Q866" s="21"/>
      <c r="R866" s="13"/>
      <c r="S866" s="19"/>
    </row>
    <row r="867">
      <c r="Q867" s="21"/>
      <c r="R867" s="13"/>
      <c r="S867" s="19"/>
    </row>
    <row r="868">
      <c r="Q868" s="21"/>
      <c r="R868" s="13"/>
      <c r="S868" s="19"/>
    </row>
    <row r="869">
      <c r="Q869" s="21"/>
      <c r="R869" s="13"/>
      <c r="S869" s="19"/>
    </row>
    <row r="870">
      <c r="Q870" s="21"/>
      <c r="R870" s="13"/>
      <c r="S870" s="19"/>
    </row>
    <row r="871">
      <c r="Q871" s="21"/>
      <c r="R871" s="13"/>
      <c r="S871" s="19"/>
    </row>
    <row r="872">
      <c r="Q872" s="21"/>
      <c r="R872" s="13"/>
      <c r="S872" s="19"/>
    </row>
    <row r="873">
      <c r="Q873" s="21"/>
      <c r="R873" s="13"/>
      <c r="S873" s="19"/>
    </row>
    <row r="874">
      <c r="Q874" s="21"/>
      <c r="R874" s="13"/>
      <c r="S874" s="19"/>
    </row>
    <row r="875">
      <c r="Q875" s="21"/>
      <c r="R875" s="13"/>
      <c r="S875" s="19"/>
    </row>
    <row r="876">
      <c r="Q876" s="21"/>
      <c r="R876" s="13"/>
      <c r="S876" s="19"/>
    </row>
    <row r="877">
      <c r="Q877" s="21"/>
      <c r="R877" s="13"/>
      <c r="S877" s="19"/>
    </row>
    <row r="878">
      <c r="Q878" s="21"/>
      <c r="R878" s="13"/>
      <c r="S878" s="19"/>
    </row>
    <row r="879">
      <c r="Q879" s="21"/>
      <c r="R879" s="13"/>
      <c r="S879" s="19"/>
    </row>
    <row r="880">
      <c r="Q880" s="21"/>
      <c r="R880" s="13"/>
      <c r="S880" s="19"/>
    </row>
    <row r="881">
      <c r="Q881" s="21"/>
      <c r="R881" s="13"/>
      <c r="S881" s="19"/>
    </row>
    <row r="882">
      <c r="Q882" s="21"/>
      <c r="R882" s="13"/>
      <c r="S882" s="19"/>
    </row>
    <row r="883">
      <c r="Q883" s="21"/>
      <c r="R883" s="13"/>
      <c r="S883" s="19"/>
    </row>
    <row r="884">
      <c r="Q884" s="21"/>
      <c r="R884" s="13"/>
      <c r="S884" s="19"/>
    </row>
    <row r="885">
      <c r="Q885" s="21"/>
      <c r="R885" s="13"/>
      <c r="S885" s="19"/>
    </row>
    <row r="886">
      <c r="Q886" s="21"/>
      <c r="R886" s="13"/>
      <c r="S886" s="19"/>
    </row>
    <row r="887">
      <c r="Q887" s="21"/>
      <c r="R887" s="13"/>
      <c r="S887" s="19"/>
    </row>
    <row r="888">
      <c r="Q888" s="21"/>
      <c r="R888" s="13"/>
      <c r="S888" s="19"/>
    </row>
    <row r="889">
      <c r="Q889" s="21"/>
      <c r="R889" s="13"/>
      <c r="S889" s="19"/>
    </row>
    <row r="890">
      <c r="Q890" s="21"/>
      <c r="R890" s="13"/>
      <c r="S890" s="19"/>
    </row>
    <row r="891">
      <c r="Q891" s="21"/>
      <c r="R891" s="13"/>
      <c r="S891" s="19"/>
    </row>
    <row r="892">
      <c r="Q892" s="21"/>
      <c r="R892" s="13"/>
      <c r="S892" s="19"/>
    </row>
    <row r="893">
      <c r="Q893" s="21"/>
      <c r="R893" s="13"/>
      <c r="S893" s="19"/>
    </row>
    <row r="894">
      <c r="Q894" s="21"/>
      <c r="R894" s="13"/>
      <c r="S894" s="19"/>
    </row>
    <row r="895">
      <c r="Q895" s="21"/>
      <c r="R895" s="13"/>
      <c r="S895" s="19"/>
    </row>
    <row r="896">
      <c r="Q896" s="21"/>
      <c r="R896" s="13"/>
      <c r="S896" s="19"/>
    </row>
    <row r="897">
      <c r="Q897" s="21"/>
      <c r="R897" s="13"/>
      <c r="S897" s="19"/>
    </row>
    <row r="898">
      <c r="Q898" s="21"/>
      <c r="R898" s="13"/>
      <c r="S898" s="19"/>
    </row>
    <row r="899">
      <c r="Q899" s="21"/>
      <c r="R899" s="13"/>
      <c r="S899" s="19"/>
    </row>
    <row r="900">
      <c r="Q900" s="21"/>
      <c r="R900" s="13"/>
      <c r="S900" s="19"/>
    </row>
    <row r="901">
      <c r="Q901" s="21"/>
      <c r="R901" s="13"/>
      <c r="S901" s="19"/>
    </row>
    <row r="902">
      <c r="Q902" s="21"/>
      <c r="R902" s="13"/>
      <c r="S902" s="19"/>
    </row>
    <row r="903">
      <c r="Q903" s="21"/>
      <c r="R903" s="13"/>
      <c r="S903" s="19"/>
    </row>
    <row r="904">
      <c r="Q904" s="21"/>
      <c r="R904" s="13"/>
      <c r="S904" s="19"/>
    </row>
    <row r="905">
      <c r="Q905" s="21"/>
      <c r="R905" s="13"/>
      <c r="S905" s="19"/>
    </row>
    <row r="906">
      <c r="Q906" s="21"/>
      <c r="R906" s="13"/>
      <c r="S906" s="19"/>
    </row>
    <row r="907">
      <c r="Q907" s="21"/>
      <c r="R907" s="13"/>
      <c r="S907" s="19"/>
    </row>
    <row r="908">
      <c r="Q908" s="21"/>
      <c r="R908" s="13"/>
      <c r="S908" s="19"/>
    </row>
    <row r="909">
      <c r="Q909" s="21"/>
      <c r="R909" s="13"/>
      <c r="S909" s="19"/>
    </row>
    <row r="910">
      <c r="Q910" s="21"/>
      <c r="R910" s="13"/>
      <c r="S910" s="19"/>
    </row>
    <row r="911">
      <c r="Q911" s="21"/>
      <c r="R911" s="13"/>
      <c r="S911" s="19"/>
    </row>
    <row r="912">
      <c r="Q912" s="21"/>
      <c r="R912" s="13"/>
      <c r="S912" s="19"/>
    </row>
    <row r="913">
      <c r="Q913" s="21"/>
      <c r="R913" s="13"/>
      <c r="S913" s="19"/>
    </row>
    <row r="914">
      <c r="Q914" s="21"/>
      <c r="R914" s="13"/>
      <c r="S914" s="19"/>
    </row>
    <row r="915">
      <c r="Q915" s="21"/>
      <c r="R915" s="13"/>
      <c r="S915" s="19"/>
    </row>
    <row r="916">
      <c r="Q916" s="21"/>
      <c r="R916" s="13"/>
      <c r="S916" s="19"/>
    </row>
    <row r="917">
      <c r="Q917" s="21"/>
      <c r="R917" s="13"/>
      <c r="S917" s="19"/>
    </row>
    <row r="918">
      <c r="Q918" s="21"/>
      <c r="R918" s="13"/>
      <c r="S918" s="19"/>
    </row>
    <row r="919">
      <c r="Q919" s="21"/>
      <c r="R919" s="13"/>
      <c r="S919" s="19"/>
    </row>
    <row r="920">
      <c r="Q920" s="21"/>
      <c r="R920" s="13"/>
      <c r="S920" s="19"/>
    </row>
    <row r="921">
      <c r="Q921" s="21"/>
      <c r="R921" s="13"/>
      <c r="S921" s="19"/>
    </row>
    <row r="922">
      <c r="Q922" s="21"/>
      <c r="R922" s="13"/>
      <c r="S922" s="19"/>
    </row>
    <row r="923">
      <c r="Q923" s="21"/>
      <c r="R923" s="13"/>
      <c r="S923" s="19"/>
    </row>
    <row r="924">
      <c r="Q924" s="21"/>
      <c r="R924" s="13"/>
      <c r="S924" s="19"/>
    </row>
    <row r="925">
      <c r="Q925" s="21"/>
      <c r="R925" s="13"/>
      <c r="S925" s="19"/>
    </row>
    <row r="926">
      <c r="Q926" s="21"/>
      <c r="R926" s="13"/>
      <c r="S926" s="19"/>
    </row>
    <row r="927">
      <c r="Q927" s="21"/>
      <c r="R927" s="13"/>
      <c r="S927" s="19"/>
    </row>
    <row r="928">
      <c r="Q928" s="21"/>
      <c r="R928" s="13"/>
      <c r="S928" s="19"/>
    </row>
    <row r="929">
      <c r="Q929" s="21"/>
      <c r="R929" s="13"/>
      <c r="S929" s="19"/>
    </row>
    <row r="930">
      <c r="Q930" s="21"/>
      <c r="R930" s="13"/>
      <c r="S930" s="19"/>
    </row>
    <row r="931">
      <c r="Q931" s="21"/>
      <c r="R931" s="13"/>
      <c r="S931" s="19"/>
    </row>
    <row r="932">
      <c r="Q932" s="21"/>
      <c r="R932" s="13"/>
      <c r="S932" s="19"/>
    </row>
    <row r="933">
      <c r="Q933" s="21"/>
      <c r="R933" s="13"/>
      <c r="S933" s="19"/>
    </row>
    <row r="934">
      <c r="Q934" s="21"/>
      <c r="R934" s="13"/>
      <c r="S934" s="19"/>
    </row>
    <row r="935">
      <c r="Q935" s="21"/>
      <c r="R935" s="13"/>
      <c r="S935" s="19"/>
    </row>
    <row r="936">
      <c r="Q936" s="21"/>
      <c r="R936" s="13"/>
      <c r="S936" s="19"/>
    </row>
    <row r="937">
      <c r="Q937" s="21"/>
      <c r="R937" s="13"/>
      <c r="S937" s="19"/>
    </row>
    <row r="938">
      <c r="Q938" s="21"/>
      <c r="R938" s="13"/>
      <c r="S938" s="19"/>
    </row>
    <row r="939">
      <c r="Q939" s="21"/>
      <c r="R939" s="13"/>
      <c r="S939" s="19"/>
    </row>
    <row r="940">
      <c r="Q940" s="21"/>
      <c r="R940" s="13"/>
      <c r="S940" s="19"/>
    </row>
    <row r="941">
      <c r="Q941" s="21"/>
      <c r="R941" s="13"/>
      <c r="S941" s="19"/>
    </row>
    <row r="942">
      <c r="Q942" s="21"/>
      <c r="R942" s="13"/>
      <c r="S942" s="19"/>
    </row>
    <row r="943">
      <c r="Q943" s="21"/>
      <c r="R943" s="13"/>
      <c r="S943" s="19"/>
    </row>
    <row r="944">
      <c r="Q944" s="21"/>
      <c r="R944" s="13"/>
      <c r="S944" s="19"/>
    </row>
    <row r="945">
      <c r="Q945" s="21"/>
      <c r="R945" s="13"/>
      <c r="S945" s="19"/>
    </row>
    <row r="946">
      <c r="Q946" s="21"/>
      <c r="R946" s="13"/>
      <c r="S946" s="19"/>
    </row>
    <row r="947">
      <c r="Q947" s="21"/>
      <c r="R947" s="13"/>
      <c r="S947" s="19"/>
    </row>
    <row r="948">
      <c r="Q948" s="21"/>
      <c r="R948" s="13"/>
      <c r="S948" s="19"/>
    </row>
    <row r="949">
      <c r="Q949" s="21"/>
      <c r="R949" s="13"/>
      <c r="S949" s="19"/>
    </row>
    <row r="950">
      <c r="Q950" s="21"/>
      <c r="R950" s="13"/>
      <c r="S950" s="19"/>
    </row>
    <row r="951">
      <c r="Q951" s="21"/>
      <c r="R951" s="13"/>
      <c r="S951" s="19"/>
    </row>
    <row r="952">
      <c r="Q952" s="21"/>
      <c r="R952" s="13"/>
      <c r="S952" s="19"/>
    </row>
    <row r="953">
      <c r="Q953" s="21"/>
      <c r="R953" s="13"/>
      <c r="S953" s="19"/>
    </row>
    <row r="954">
      <c r="Q954" s="21"/>
      <c r="R954" s="13"/>
      <c r="S954" s="19"/>
    </row>
    <row r="955">
      <c r="Q955" s="21"/>
      <c r="R955" s="13"/>
      <c r="S955" s="19"/>
    </row>
    <row r="956">
      <c r="Q956" s="21"/>
      <c r="R956" s="13"/>
      <c r="S956" s="19"/>
    </row>
    <row r="957">
      <c r="Q957" s="21"/>
      <c r="R957" s="13"/>
      <c r="S957" s="19"/>
    </row>
    <row r="958">
      <c r="Q958" s="21"/>
      <c r="R958" s="13"/>
      <c r="S958" s="19"/>
    </row>
    <row r="959">
      <c r="Q959" s="21"/>
      <c r="R959" s="13"/>
      <c r="S959" s="19"/>
    </row>
    <row r="960">
      <c r="Q960" s="21"/>
      <c r="R960" s="13"/>
      <c r="S960" s="19"/>
    </row>
    <row r="961">
      <c r="Q961" s="21"/>
      <c r="R961" s="13"/>
      <c r="S961" s="19"/>
    </row>
    <row r="962">
      <c r="Q962" s="21"/>
      <c r="R962" s="13"/>
      <c r="S962" s="19"/>
    </row>
    <row r="963">
      <c r="Q963" s="21"/>
      <c r="R963" s="13"/>
      <c r="S963" s="19"/>
    </row>
    <row r="964">
      <c r="Q964" s="21"/>
      <c r="R964" s="13"/>
      <c r="S964" s="19"/>
    </row>
    <row r="965">
      <c r="Q965" s="21"/>
      <c r="R965" s="13"/>
      <c r="S965" s="19"/>
    </row>
    <row r="966">
      <c r="Q966" s="21"/>
      <c r="R966" s="13"/>
      <c r="S966" s="19"/>
    </row>
    <row r="967">
      <c r="Q967" s="21"/>
      <c r="R967" s="13"/>
      <c r="S967" s="19"/>
    </row>
    <row r="968">
      <c r="Q968" s="21"/>
      <c r="R968" s="13"/>
      <c r="S968" s="19"/>
    </row>
    <row r="969">
      <c r="Q969" s="21"/>
      <c r="R969" s="13"/>
      <c r="S969" s="19"/>
    </row>
    <row r="970">
      <c r="Q970" s="21"/>
      <c r="R970" s="13"/>
      <c r="S970" s="19"/>
    </row>
    <row r="971">
      <c r="Q971" s="21"/>
      <c r="R971" s="13"/>
      <c r="S971" s="19"/>
    </row>
    <row r="972">
      <c r="Q972" s="21"/>
      <c r="R972" s="13"/>
      <c r="S972" s="19"/>
    </row>
    <row r="973">
      <c r="Q973" s="21"/>
      <c r="R973" s="13"/>
      <c r="S973" s="19"/>
    </row>
    <row r="974">
      <c r="Q974" s="21"/>
      <c r="R974" s="13"/>
      <c r="S974" s="19"/>
    </row>
    <row r="975">
      <c r="Q975" s="21"/>
      <c r="R975" s="13"/>
      <c r="S975" s="19"/>
    </row>
    <row r="976">
      <c r="Q976" s="21"/>
      <c r="R976" s="13"/>
      <c r="S976" s="19"/>
    </row>
    <row r="977">
      <c r="Q977" s="21"/>
      <c r="R977" s="13"/>
      <c r="S977" s="19"/>
    </row>
    <row r="978">
      <c r="Q978" s="21"/>
      <c r="R978" s="13"/>
      <c r="S978" s="19"/>
    </row>
    <row r="979">
      <c r="Q979" s="21"/>
      <c r="R979" s="13"/>
      <c r="S979" s="19"/>
    </row>
    <row r="980">
      <c r="Q980" s="21"/>
      <c r="R980" s="13"/>
      <c r="S980" s="19"/>
    </row>
    <row r="981">
      <c r="Q981" s="21"/>
      <c r="R981" s="13"/>
      <c r="S981" s="19"/>
    </row>
    <row r="982">
      <c r="Q982" s="21"/>
      <c r="R982" s="13"/>
      <c r="S982" s="19"/>
    </row>
    <row r="983">
      <c r="Q983" s="21"/>
      <c r="R983" s="13"/>
      <c r="S983" s="19"/>
    </row>
    <row r="984">
      <c r="Q984" s="21"/>
      <c r="R984" s="13"/>
      <c r="S984" s="19"/>
    </row>
    <row r="985">
      <c r="Q985" s="21"/>
      <c r="R985" s="13"/>
      <c r="S985" s="19"/>
    </row>
    <row r="986">
      <c r="Q986" s="21"/>
      <c r="R986" s="13"/>
      <c r="S986" s="19"/>
    </row>
    <row r="987">
      <c r="Q987" s="21"/>
      <c r="R987" s="13"/>
      <c r="S987" s="19"/>
    </row>
    <row r="988">
      <c r="Q988" s="21"/>
      <c r="R988" s="13"/>
      <c r="S988" s="19"/>
    </row>
    <row r="989">
      <c r="Q989" s="21"/>
      <c r="R989" s="13"/>
      <c r="S989" s="19"/>
    </row>
    <row r="990">
      <c r="Q990" s="21"/>
      <c r="R990" s="13"/>
      <c r="S990" s="19"/>
    </row>
    <row r="991">
      <c r="Q991" s="21"/>
      <c r="R991" s="13"/>
      <c r="S991" s="19"/>
    </row>
    <row r="992">
      <c r="Q992" s="21"/>
      <c r="R992" s="13"/>
      <c r="S992" s="19"/>
    </row>
    <row r="993">
      <c r="Q993" s="21"/>
      <c r="R993" s="13"/>
      <c r="S993" s="19"/>
    </row>
    <row r="994">
      <c r="Q994" s="21"/>
      <c r="R994" s="13"/>
      <c r="S994" s="19"/>
    </row>
    <row r="995">
      <c r="Q995" s="21"/>
      <c r="R995" s="13"/>
      <c r="S995" s="19"/>
    </row>
    <row r="996">
      <c r="Q996" s="21"/>
      <c r="R996" s="13"/>
      <c r="S996" s="19"/>
    </row>
    <row r="997">
      <c r="Q997" s="21"/>
      <c r="R997" s="13"/>
      <c r="S997" s="19"/>
    </row>
    <row r="998">
      <c r="Q998" s="21"/>
      <c r="R998" s="13"/>
      <c r="S998" s="19"/>
    </row>
    <row r="999">
      <c r="Q999" s="21"/>
      <c r="R999" s="13"/>
      <c r="S999" s="19"/>
    </row>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ref="S39"/>
    <hyperlink r:id="rId39" ref="S40"/>
    <hyperlink r:id="rId40" ref="S41"/>
    <hyperlink r:id="rId41" ref="S42"/>
    <hyperlink r:id="rId42" ref="S43"/>
    <hyperlink r:id="rId43" ref="S44"/>
    <hyperlink r:id="rId44" ref="S45"/>
    <hyperlink r:id="rId45" ref="S46"/>
    <hyperlink r:id="rId46" ref="S47"/>
    <hyperlink r:id="rId47" ref="S48"/>
    <hyperlink r:id="rId48" ref="S49"/>
    <hyperlink r:id="rId49" ref="S50"/>
    <hyperlink r:id="rId50" ref="S51"/>
    <hyperlink r:id="rId51" ref="S52"/>
    <hyperlink r:id="rId52" ref="S53"/>
    <hyperlink r:id="rId53" ref="S54"/>
    <hyperlink r:id="rId54" ref="S55"/>
    <hyperlink r:id="rId55" ref="S56"/>
    <hyperlink r:id="rId56" ref="S57"/>
    <hyperlink r:id="rId57" ref="S58"/>
    <hyperlink r:id="rId58" ref="S59"/>
    <hyperlink r:id="rId59" ref="S60"/>
    <hyperlink r:id="rId60" ref="S61"/>
    <hyperlink r:id="rId61" ref="S62"/>
    <hyperlink r:id="rId62" ref="S63"/>
    <hyperlink r:id="rId63" ref="S64"/>
    <hyperlink r:id="rId64" ref="S65"/>
    <hyperlink r:id="rId65" ref="S66"/>
    <hyperlink r:id="rId66" ref="S67"/>
    <hyperlink r:id="rId67" ref="S68"/>
    <hyperlink r:id="rId68" ref="S69"/>
    <hyperlink r:id="rId69" ref="S70"/>
    <hyperlink r:id="rId70" ref="S71"/>
    <hyperlink r:id="rId71" ref="S72"/>
    <hyperlink r:id="rId72" ref="S73"/>
    <hyperlink r:id="rId73" ref="S75"/>
    <hyperlink r:id="rId74" ref="S76"/>
    <hyperlink r:id="rId75" ref="S77"/>
    <hyperlink r:id="rId76" ref="S78"/>
    <hyperlink r:id="rId77" ref="S79"/>
    <hyperlink r:id="rId78" ref="S80"/>
    <hyperlink r:id="rId79" ref="S81"/>
    <hyperlink r:id="rId80" ref="S82"/>
    <hyperlink r:id="rId81" ref="S83"/>
    <hyperlink r:id="rId82" ref="S84"/>
    <hyperlink r:id="rId83" ref="S85"/>
    <hyperlink r:id="rId84" ref="S86"/>
    <hyperlink r:id="rId85" ref="S87"/>
    <hyperlink r:id="rId86" ref="S88"/>
    <hyperlink r:id="rId87" ref="S89"/>
    <hyperlink r:id="rId88" ref="S90"/>
    <hyperlink r:id="rId89" ref="S91"/>
    <hyperlink r:id="rId90" ref="S92"/>
    <hyperlink r:id="rId91" ref="S93"/>
    <hyperlink r:id="rId92" ref="S94"/>
    <hyperlink r:id="rId93" ref="S95"/>
    <hyperlink r:id="rId94" ref="S96"/>
    <hyperlink r:id="rId95" ref="S97"/>
    <hyperlink r:id="rId96" ref="S98"/>
    <hyperlink r:id="rId97" ref="S99"/>
    <hyperlink r:id="rId98" ref="S100"/>
    <hyperlink r:id="rId99" ref="S101"/>
    <hyperlink r:id="rId100" ref="S102"/>
    <hyperlink r:id="rId101" ref="S103"/>
    <hyperlink r:id="rId102" ref="S104"/>
    <hyperlink r:id="rId103" ref="S105"/>
    <hyperlink r:id="rId104" ref="S106"/>
    <hyperlink r:id="rId105" ref="S107"/>
    <hyperlink r:id="rId106" ref="S108"/>
    <hyperlink r:id="rId107" ref="S109"/>
    <hyperlink r:id="rId108" ref="S110"/>
    <hyperlink r:id="rId109" ref="S111"/>
    <hyperlink r:id="rId110" ref="S112"/>
    <hyperlink r:id="rId111" ref="S113"/>
    <hyperlink r:id="rId112" ref="S114"/>
    <hyperlink r:id="rId113" ref="S115"/>
    <hyperlink r:id="rId114" ref="S116"/>
    <hyperlink r:id="rId115" ref="S117"/>
    <hyperlink r:id="rId116" ref="S118"/>
    <hyperlink r:id="rId117" ref="S119"/>
    <hyperlink r:id="rId118" ref="S120"/>
    <hyperlink r:id="rId119" ref="S121"/>
    <hyperlink r:id="rId120" ref="S122"/>
    <hyperlink r:id="rId121" ref="S123"/>
    <hyperlink r:id="rId122" ref="S124"/>
    <hyperlink r:id="rId123" ref="S125"/>
    <hyperlink r:id="rId124" ref="S126"/>
    <hyperlink r:id="rId125" ref="S127"/>
    <hyperlink r:id="rId126" ref="S128"/>
    <hyperlink r:id="rId127" ref="S129"/>
    <hyperlink r:id="rId128" ref="S130"/>
    <hyperlink r:id="rId129" ref="S131"/>
    <hyperlink r:id="rId130" ref="S132"/>
    <hyperlink r:id="rId131" ref="S133"/>
    <hyperlink r:id="rId132" ref="S134"/>
    <hyperlink r:id="rId133" ref="S135"/>
    <hyperlink r:id="rId134" ref="S136"/>
    <hyperlink r:id="rId135" ref="S137"/>
    <hyperlink r:id="rId136" ref="S138"/>
    <hyperlink r:id="rId137" ref="S139"/>
    <hyperlink r:id="rId138" ref="S140"/>
    <hyperlink r:id="rId139" ref="S141"/>
    <hyperlink r:id="rId140" ref="S142"/>
    <hyperlink r:id="rId141" ref="S143"/>
    <hyperlink r:id="rId142" ref="S144"/>
    <hyperlink r:id="rId143" ref="S145"/>
    <hyperlink r:id="rId144" ref="S146"/>
    <hyperlink r:id="rId145" ref="S147"/>
    <hyperlink r:id="rId146" ref="S148"/>
    <hyperlink r:id="rId147" ref="S149"/>
    <hyperlink r:id="rId148" ref="S150"/>
    <hyperlink r:id="rId149" ref="S151"/>
    <hyperlink r:id="rId150" ref="S152"/>
    <hyperlink r:id="rId151" ref="S153"/>
    <hyperlink r:id="rId152" ref="S154"/>
    <hyperlink r:id="rId153" ref="S155"/>
    <hyperlink r:id="rId154" ref="S156"/>
    <hyperlink r:id="rId155" ref="S157"/>
    <hyperlink r:id="rId156" ref="S158"/>
    <hyperlink r:id="rId157" ref="S159"/>
    <hyperlink r:id="rId158" ref="S160"/>
    <hyperlink r:id="rId159" ref="S161"/>
    <hyperlink r:id="rId160" ref="S162"/>
    <hyperlink r:id="rId161" ref="S163"/>
    <hyperlink r:id="rId162" ref="S164"/>
    <hyperlink r:id="rId163" ref="S165"/>
    <hyperlink r:id="rId164" ref="S166"/>
    <hyperlink r:id="rId165" ref="S167"/>
    <hyperlink r:id="rId166" ref="S168"/>
    <hyperlink r:id="rId167" ref="S169"/>
    <hyperlink r:id="rId168" ref="S170"/>
    <hyperlink r:id="rId169" ref="S171"/>
    <hyperlink r:id="rId170" ref="S172"/>
    <hyperlink r:id="rId171" ref="S173"/>
    <hyperlink r:id="rId172" ref="S174"/>
    <hyperlink r:id="rId173" ref="S175"/>
    <hyperlink r:id="rId174" ref="S176"/>
    <hyperlink r:id="rId175" ref="S177"/>
    <hyperlink r:id="rId176" ref="S178"/>
    <hyperlink r:id="rId177" ref="S179"/>
    <hyperlink r:id="rId178" ref="S180"/>
    <hyperlink r:id="rId179" ref="S181"/>
    <hyperlink r:id="rId180" ref="S182"/>
    <hyperlink r:id="rId181" ref="S183"/>
    <hyperlink r:id="rId182" ref="S184"/>
    <hyperlink r:id="rId183" ref="S185"/>
    <hyperlink r:id="rId184" ref="S186"/>
    <hyperlink r:id="rId185" ref="S187"/>
    <hyperlink r:id="rId186" ref="S188"/>
    <hyperlink r:id="rId187" ref="S189"/>
    <hyperlink r:id="rId188" ref="S190"/>
    <hyperlink r:id="rId189" ref="S191"/>
    <hyperlink r:id="rId190" ref="S192"/>
    <hyperlink r:id="rId191" ref="S193"/>
    <hyperlink r:id="rId192" ref="S194"/>
    <hyperlink r:id="rId193" ref="S195"/>
    <hyperlink r:id="rId194" ref="S196"/>
    <hyperlink r:id="rId195" ref="S197"/>
    <hyperlink r:id="rId196" ref="S198"/>
    <hyperlink r:id="rId197" ref="S199"/>
    <hyperlink r:id="rId198" ref="S200"/>
    <hyperlink r:id="rId199" ref="S201"/>
    <hyperlink r:id="rId200" ref="S202"/>
    <hyperlink r:id="rId201" ref="S203"/>
    <hyperlink r:id="rId202" ref="S204"/>
    <hyperlink r:id="rId203" ref="S205"/>
    <hyperlink r:id="rId204" ref="S206"/>
    <hyperlink r:id="rId205" ref="S207"/>
    <hyperlink r:id="rId206" ref="S208"/>
    <hyperlink r:id="rId207" ref="S209"/>
    <hyperlink r:id="rId208" ref="S210"/>
    <hyperlink r:id="rId209" ref="S211"/>
    <hyperlink r:id="rId210" ref="S212"/>
    <hyperlink r:id="rId211" ref="S213"/>
    <hyperlink r:id="rId212" ref="S214"/>
    <hyperlink r:id="rId213" ref="S215"/>
    <hyperlink r:id="rId214" ref="S216"/>
    <hyperlink r:id="rId215" ref="S217"/>
    <hyperlink r:id="rId216" ref="S218"/>
    <hyperlink r:id="rId217" ref="S219"/>
    <hyperlink r:id="rId218" ref="S220"/>
    <hyperlink r:id="rId219" ref="S221"/>
    <hyperlink r:id="rId220" ref="S222"/>
    <hyperlink r:id="rId221" ref="S223"/>
    <hyperlink r:id="rId222" ref="S224"/>
    <hyperlink r:id="rId223" ref="S225"/>
    <hyperlink r:id="rId224" ref="S226"/>
    <hyperlink r:id="rId225" ref="S227"/>
    <hyperlink r:id="rId226" ref="S228"/>
    <hyperlink r:id="rId227" ref="S229"/>
    <hyperlink r:id="rId228" ref="S230"/>
    <hyperlink r:id="rId229" ref="S231"/>
    <hyperlink r:id="rId230" ref="S232"/>
    <hyperlink r:id="rId231" ref="S233"/>
    <hyperlink r:id="rId232" ref="S234"/>
    <hyperlink r:id="rId233" ref="S235"/>
    <hyperlink r:id="rId234" ref="S236"/>
    <hyperlink r:id="rId235" ref="S237"/>
    <hyperlink r:id="rId236" ref="S238"/>
    <hyperlink r:id="rId237" ref="S239"/>
    <hyperlink r:id="rId238" ref="S240"/>
    <hyperlink r:id="rId239" ref="S241"/>
    <hyperlink r:id="rId240" ref="S242"/>
    <hyperlink r:id="rId241" ref="S243"/>
    <hyperlink r:id="rId242" ref="S244"/>
    <hyperlink r:id="rId243" ref="S245"/>
    <hyperlink r:id="rId244" ref="S246"/>
    <hyperlink r:id="rId245" ref="S247"/>
    <hyperlink r:id="rId246" ref="S248"/>
    <hyperlink r:id="rId247" ref="S249"/>
    <hyperlink r:id="rId248" ref="S250"/>
    <hyperlink r:id="rId249" ref="S251"/>
    <hyperlink r:id="rId250" ref="S252"/>
    <hyperlink r:id="rId251" ref="S253"/>
    <hyperlink r:id="rId252" ref="S254"/>
    <hyperlink r:id="rId253" ref="S255"/>
    <hyperlink r:id="rId254" ref="S256"/>
    <hyperlink r:id="rId255" ref="S257"/>
    <hyperlink r:id="rId256" ref="S258"/>
    <hyperlink r:id="rId257" ref="S259"/>
    <hyperlink r:id="rId258" ref="S260"/>
    <hyperlink r:id="rId259" ref="S261"/>
    <hyperlink r:id="rId260" ref="S262"/>
    <hyperlink r:id="rId261" ref="S263"/>
    <hyperlink r:id="rId262" ref="S264"/>
    <hyperlink r:id="rId263" ref="S265"/>
    <hyperlink r:id="rId264" ref="S266"/>
    <hyperlink r:id="rId265" ref="S267"/>
    <hyperlink r:id="rId266" ref="S268"/>
    <hyperlink r:id="rId267" ref="S269"/>
    <hyperlink r:id="rId268" ref="S270"/>
    <hyperlink r:id="rId269" ref="S271"/>
    <hyperlink r:id="rId270" ref="S272"/>
    <hyperlink r:id="rId271" ref="S273"/>
    <hyperlink r:id="rId272" ref="S274"/>
    <hyperlink r:id="rId273" ref="S275"/>
    <hyperlink r:id="rId274" ref="S276"/>
    <hyperlink r:id="rId275" ref="S277"/>
    <hyperlink r:id="rId276" ref="S278"/>
    <hyperlink r:id="rId277" ref="S279"/>
    <hyperlink r:id="rId278" ref="S280"/>
    <hyperlink r:id="rId279" ref="S281"/>
    <hyperlink r:id="rId280" ref="S282"/>
    <hyperlink r:id="rId281" ref="S283"/>
    <hyperlink r:id="rId282" ref="S284"/>
    <hyperlink r:id="rId283" ref="S285"/>
    <hyperlink r:id="rId284" ref="S286"/>
    <hyperlink r:id="rId285" ref="S287"/>
    <hyperlink r:id="rId286" ref="S288"/>
    <hyperlink r:id="rId287" ref="S289"/>
    <hyperlink r:id="rId288" ref="S290"/>
    <hyperlink r:id="rId289" ref="S291"/>
    <hyperlink r:id="rId290" ref="S292"/>
    <hyperlink r:id="rId291" ref="S293"/>
    <hyperlink r:id="rId292" ref="S294"/>
    <hyperlink r:id="rId293" ref="S295"/>
    <hyperlink r:id="rId294" ref="S296"/>
    <hyperlink r:id="rId295" ref="S297"/>
    <hyperlink r:id="rId296" ref="S298"/>
    <hyperlink r:id="rId297" ref="S300"/>
    <hyperlink r:id="rId298" ref="S301"/>
    <hyperlink r:id="rId299" ref="S302"/>
    <hyperlink r:id="rId300" ref="S303"/>
    <hyperlink r:id="rId301" ref="S304"/>
  </hyperlinks>
  <drawing r:id="rId302"/>
  <tableParts count="3">
    <tablePart r:id="rId306"/>
    <tablePart r:id="rId307"/>
    <tablePart r:id="rId308"/>
  </tableParts>
</worksheet>
</file>